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harmendra Kumar\Downloads\"/>
    </mc:Choice>
  </mc:AlternateContent>
  <xr:revisionPtr revIDLastSave="0" documentId="13_ncr:1_{0F14BD41-E489-4B5A-B4A9-1C73F26DEE97}" xr6:coauthVersionLast="47" xr6:coauthVersionMax="47" xr10:uidLastSave="{00000000-0000-0000-0000-000000000000}"/>
  <bookViews>
    <workbookView xWindow="-108" yWindow="-108" windowWidth="23256" windowHeight="12456" tabRatio="932" activeTab="3" xr2:uid="{00000000-000D-0000-FFFF-FFFF00000000}"/>
  </bookViews>
  <sheets>
    <sheet name="Forms Workload Assessment" sheetId="2" r:id="rId1"/>
    <sheet name="AWR Database Profile" sheetId="3" r:id="rId2"/>
    <sheet name="TCO Model" sheetId="5" r:id="rId3"/>
    <sheet name="Charts" sheetId="8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2" i="5" l="1"/>
  <c r="E131" i="5"/>
  <c r="F130" i="5"/>
  <c r="G130" i="5" s="1"/>
  <c r="E130" i="5"/>
  <c r="E129" i="5"/>
  <c r="E128" i="5"/>
  <c r="F132" i="5" s="1"/>
  <c r="G132" i="5" s="1"/>
  <c r="F117" i="5"/>
  <c r="E117" i="5"/>
  <c r="D117" i="5"/>
  <c r="C117" i="5"/>
  <c r="B117" i="5"/>
  <c r="F85" i="5"/>
  <c r="E85" i="5"/>
  <c r="D85" i="5"/>
  <c r="C85" i="5"/>
  <c r="B85" i="5"/>
  <c r="F53" i="5"/>
  <c r="E53" i="5"/>
  <c r="D53" i="5"/>
  <c r="C53" i="5"/>
  <c r="B53" i="5"/>
  <c r="F129" i="5" l="1"/>
  <c r="G129" i="5" s="1"/>
  <c r="F131" i="5"/>
  <c r="G131" i="5" s="1"/>
</calcChain>
</file>

<file path=xl/sharedStrings.xml><?xml version="1.0" encoding="utf-8"?>
<sst xmlns="http://schemas.openxmlformats.org/spreadsheetml/2006/main" count="528" uniqueCount="403">
  <si>
    <t>BASELINE</t>
  </si>
  <si>
    <t>★ RECOMMENDED</t>
  </si>
  <si>
    <t>LIFT &amp; SHIFT</t>
  </si>
  <si>
    <t>Metric</t>
  </si>
  <si>
    <t>Saving vs On-Prem</t>
  </si>
  <si>
    <t>—</t>
  </si>
  <si>
    <t>None</t>
  </si>
  <si>
    <t>LOW</t>
  </si>
  <si>
    <t>MEDIUM</t>
  </si>
  <si>
    <t>HIGH</t>
  </si>
  <si>
    <t>NO</t>
  </si>
  <si>
    <t>N/A</t>
  </si>
  <si>
    <t>WLS License Required</t>
  </si>
  <si>
    <t>Oracle Support Rewards</t>
  </si>
  <si>
    <t>12–18 months</t>
  </si>
  <si>
    <t>Oracle Forms Application Workload Assessment</t>
  </si>
  <si>
    <t>2.1  Oracle Forms Architecture Overview (Assumed for HRDPRD)</t>
  </si>
  <si>
    <t>Component</t>
  </si>
  <si>
    <t>Current State</t>
  </si>
  <si>
    <t>Version</t>
  </si>
  <si>
    <t>Azure Target</t>
  </si>
  <si>
    <t>Notes</t>
  </si>
  <si>
    <t>Forms Runtime</t>
  </si>
  <si>
    <t>Oracle Forms 12c</t>
  </si>
  <si>
    <t>12.2.1.x</t>
  </si>
  <si>
    <t>WebLogic VM or Modernized</t>
  </si>
  <si>
    <t>Forms 14c released Dec 2024</t>
  </si>
  <si>
    <t>App Server</t>
  </si>
  <si>
    <t>Oracle WebLogic Server</t>
  </si>
  <si>
    <t>12c (12.2.1.4)</t>
  </si>
  <si>
    <t>Azure VM (BYOL) or AKS</t>
  </si>
  <si>
    <t>WLS jointly supported on Azure</t>
  </si>
  <si>
    <t>Web Server</t>
  </si>
  <si>
    <t>Oracle HTTP Server / Apache</t>
  </si>
  <si>
    <t>12c</t>
  </si>
  <si>
    <t>Azure App Gateway + NGINX</t>
  </si>
  <si>
    <t>Or integrate with Azure Front Door</t>
  </si>
  <si>
    <t>Forms Servlet</t>
  </si>
  <si>
    <t>frmservlet / FormsServlet</t>
  </si>
  <si>
    <t>Same (lift &amp; shift VM)</t>
  </si>
  <si>
    <t>No change for lift &amp; shift</t>
  </si>
  <si>
    <t>Database Tier</t>
  </si>
  <si>
    <t>Oracle DB 12.2 EE RAC</t>
  </si>
  <si>
    <t>12.2.0.1</t>
  </si>
  <si>
    <t>Per DB option selected</t>
  </si>
  <si>
    <t>Forms talks to DB via JDBC/SQLNET</t>
  </si>
  <si>
    <t>Reports</t>
  </si>
  <si>
    <t>Oracle Reports (if any)</t>
  </si>
  <si>
    <t>Migrate separately</t>
  </si>
  <si>
    <t>Reports 12c deprecated — plan migration</t>
  </si>
  <si>
    <t>Concurrent Users</t>
  </si>
  <si>
    <t>~50–100 assumed</t>
  </si>
  <si>
    <t>Peak ~150</t>
  </si>
  <si>
    <t>Azure VM D8ds_v5 sufficient</t>
  </si>
  <si>
    <t>8 vCPUs handles 150+ concurrent users</t>
  </si>
  <si>
    <t>Session Model</t>
  </si>
  <si>
    <t>Stateful (Forms session)</t>
  </si>
  <si>
    <t>Long-lived</t>
  </si>
  <si>
    <t>Preserve on lift &amp; shift</t>
  </si>
  <si>
    <t>AKS stateful sets if containerized</t>
  </si>
  <si>
    <t>Browser Client</t>
  </si>
  <si>
    <t>Java Plugin (legacy) or JWS</t>
  </si>
  <si>
    <t>Varies</t>
  </si>
  <si>
    <t>HTML5 via Forms Standalone</t>
  </si>
  <si>
    <t>Forms 12c supports browser HTML5</t>
  </si>
  <si>
    <t>SSO / Auth</t>
  </si>
  <si>
    <t>Oracle SSO or AD</t>
  </si>
  <si>
    <t>LDAP/AD</t>
  </si>
  <si>
    <t>Azure AD / Entra ID</t>
  </si>
  <si>
    <t>Configure WLS LDAP to Entra ID</t>
  </si>
  <si>
    <t>License — WLS</t>
  </si>
  <si>
    <t>WebLogic Suite perpetual</t>
  </si>
  <si>
    <t>8 proc lic assumed</t>
  </si>
  <si>
    <t>BYOL on Azure VM (2 vCPU/lic)</t>
  </si>
  <si>
    <t>8 proc lic = 16 vCPUs on Azure</t>
  </si>
  <si>
    <t>License — Forms</t>
  </si>
  <si>
    <t>Bundled in WLS Suite</t>
  </si>
  <si>
    <t>Included</t>
  </si>
  <si>
    <t>Included in WLS BYOL</t>
  </si>
  <si>
    <t>Oracle Forms included in WLS Suite</t>
  </si>
  <si>
    <t>2.2  Oracle Forms Migration Options — 4 Paths</t>
  </si>
  <si>
    <t>Oracle Forms 12c end of Premier Support: Dec 2024. End of Sustaining Support: Dec 2028. Forms 14c (released Dec 2024) extends support to ~2034 but requires WebLogic 14c upgrade. For HRDPRD HCM scenario, lift &amp; shift to Azure VM is the fastest path; modernization to React/Angular is the strategic long-term play.</t>
  </si>
  <si>
    <t>Path</t>
  </si>
  <si>
    <t>Approach</t>
  </si>
  <si>
    <t>Technology Stack</t>
  </si>
  <si>
    <t>Azure Services</t>
  </si>
  <si>
    <t>Timeline</t>
  </si>
  <si>
    <t>Cost Est.</t>
  </si>
  <si>
    <t>Risk</t>
  </si>
  <si>
    <t>Path 1
Lift &amp; Shift
(Recommended)</t>
  </si>
  <si>
    <t>Move Forms server VM to Azure as-is. Run WLS+Forms 12c on Azure VM.</t>
  </si>
  <si>
    <t>Oracle Forms 12c + WebLogic 12c on Oracle Linux / RHEL Azure VM</t>
  </si>
  <si>
    <t>Azure VM (D8ds_v5 or D16ds_v5) + Azure Load Balancer + Azure AD LDAP</t>
  </si>
  <si>
    <t>4–6 weeks</t>
  </si>
  <si>
    <t>$40K–$80K</t>
  </si>
  <si>
    <t>Path 2
Upgrade &amp; Lift
(Stable)</t>
  </si>
  <si>
    <t>Upgrade to Forms 14c / WebLogic 14c, then lift to Azure VM. Extends support to ~2034.</t>
  </si>
  <si>
    <t>Oracle Forms 14c + WebLogic 14c on Azure VM</t>
  </si>
  <si>
    <t>Same Azure VM stack; Azure DevOps for deployment automation</t>
  </si>
  <si>
    <t>8–14 weeks</t>
  </si>
  <si>
    <t>$80K–$150K</t>
  </si>
  <si>
    <t>Path 3
Forms → APEX
(Modernize DB-native)</t>
  </si>
  <si>
    <t>Convert Forms to Oracle APEX. Runs inside Oracle DB — no Forms server needed. Works with ODB@Azure.</t>
  </si>
  <si>
    <t>Oracle APEX 23+ (included in Oracle DB EE) + ORDS on Azure VM / AKS</t>
  </si>
  <si>
    <t>ODB@Azure (APEX in DB) + ORDS on Azure App Service / AKS</t>
  </si>
  <si>
    <t>6–12 months</t>
  </si>
  <si>
    <t>$200K–$400K</t>
  </si>
  <si>
    <t>Path 4
Full Rewrite
(Strategic Modernize)</t>
  </si>
  <si>
    <t>Rewrite Forms as React/Angular + REST API + Java/.NET backend. Fully cloud-native.</t>
  </si>
  <si>
    <t>React/Angular frontend + Java Spring Boot / .NET API + Azure PostgreSQL</t>
  </si>
  <si>
    <t>Azure App Service / AKS + Azure API Management + Azure PostgreSQL</t>
  </si>
  <si>
    <t>$400K–$800K</t>
  </si>
  <si>
    <t>2.3  Forms License Implications per Migration Option</t>
  </si>
  <si>
    <t>Dimension</t>
  </si>
  <si>
    <t>On-Prem</t>
  </si>
  <si>
    <t>Lift &amp; Shift (Path 1)</t>
  </si>
  <si>
    <t>Upgrade &amp; Lift (Path 2)</t>
  </si>
  <si>
    <t>Forms → APEX (Path 3)</t>
  </si>
  <si>
    <t>Full Rewrite (Path 4)</t>
  </si>
  <si>
    <t>YES (8 proc)</t>
  </si>
  <si>
    <t>YES (8 proc BYOL)</t>
  </si>
  <si>
    <t>NO — APEX in DB</t>
  </si>
  <si>
    <t>NO — open-source stack</t>
  </si>
  <si>
    <t>Forms License</t>
  </si>
  <si>
    <t>Incl. WLS Suite</t>
  </si>
  <si>
    <t>Incl. WLS BYOL</t>
  </si>
  <si>
    <t>Eliminated</t>
  </si>
  <si>
    <t>WLS Azure License Rule</t>
  </si>
  <si>
    <t>2 vCPU = 1 lic</t>
  </si>
  <si>
    <t>vCPUs Needed (Azure)</t>
  </si>
  <si>
    <t>8–16 vCPU</t>
  </si>
  <si>
    <t>ORDS: 4 vCPU</t>
  </si>
  <si>
    <t>4–8 vCPU (App Svc)</t>
  </si>
  <si>
    <t>Proc Licenses Needed</t>
  </si>
  <si>
    <t>8 proc</t>
  </si>
  <si>
    <t>4–8 proc</t>
  </si>
  <si>
    <t>0 (APEX in DB)</t>
  </si>
  <si>
    <t>0</t>
  </si>
  <si>
    <t>Annual WLS Support</t>
  </si>
  <si>
    <t>~$176K/yr</t>
  </si>
  <si>
    <t>~$176K/yr (no change)</t>
  </si>
  <si>
    <t>NO (Azure VM)</t>
  </si>
  <si>
    <t>YES if ODB@Azure</t>
  </si>
  <si>
    <t>License Risk</t>
  </si>
  <si>
    <t>Medium</t>
  </si>
  <si>
    <t>Low (Azure authorized)</t>
  </si>
  <si>
    <t>Low</t>
  </si>
  <si>
    <t>AWR Workload Profile — HRDPRD Oracle 12.2 RAC Database (35-Day Capture)</t>
  </si>
  <si>
    <t>3.1  Database Key Metrics</t>
  </si>
  <si>
    <t>Instance 1</t>
  </si>
  <si>
    <t>Instance 2</t>
  </si>
  <si>
    <t>Cluster Total</t>
  </si>
  <si>
    <t>Platform Impact</t>
  </si>
  <si>
    <t>vCPUs / Cores</t>
  </si>
  <si>
    <t>32 / 16</t>
  </si>
  <si>
    <t>64 total</t>
  </si>
  <si>
    <t>Over-provisioned — right-size to 32 vCPUs cloud</t>
  </si>
  <si>
    <t>RAM (GB)</t>
  </si>
  <si>
    <t>~128 GB</t>
  </si>
  <si>
    <t>~256 GB</t>
  </si>
  <si>
    <t>SGA+PGA ~41 GB active per node</t>
  </si>
  <si>
    <t>Avg Active Sessions</t>
  </si>
  <si>
    <t>2.32</t>
  </si>
  <si>
    <t>1.73</t>
  </si>
  <si>
    <t>4.05</t>
  </si>
  <si>
    <t>Very low — elastic ECPUs are ideal</t>
  </si>
  <si>
    <t>Peak AAS (ADDM)</t>
  </si>
  <si>
    <t>49.42</t>
  </si>
  <si>
    <t>~30</t>
  </si>
  <si>
    <t>~80 peak</t>
  </si>
  <si>
    <t>Payroll spike — size for peak</t>
  </si>
  <si>
    <t>DB CPU % of DB time</t>
  </si>
  <si>
    <t>61.27%</t>
  </si>
  <si>
    <t>60.71%</t>
  </si>
  <si>
    <t>61.0%</t>
  </si>
  <si>
    <t>CPU-efficient OLTP workload</t>
  </si>
  <si>
    <t>Physical Reads/s</t>
  </si>
  <si>
    <t>12,298</t>
  </si>
  <si>
    <t>4,165</t>
  </si>
  <si>
    <t>16,463 blks/s</t>
  </si>
  <si>
    <t>Exadata flash cache eliminates #3 wait</t>
  </si>
  <si>
    <t>I/O Throughput</t>
  </si>
  <si>
    <t>172 MB/s</t>
  </si>
  <si>
    <t>15 MB/s wrt</t>
  </si>
  <si>
    <t>187 MB/s total</t>
  </si>
  <si>
    <t>Provision 300 MB/s on Azure</t>
  </si>
  <si>
    <t>Total IOPS</t>
  </si>
  <si>
    <t>~5,800 reads</t>
  </si>
  <si>
    <t>~400 writes</t>
  </si>
  <si>
    <t>~6,200 avg</t>
  </si>
  <si>
    <t>10,000 IOPS provisioned on cloud</t>
  </si>
  <si>
    <t>Transactions/s</t>
  </si>
  <si>
    <t>47.29</t>
  </si>
  <si>
    <t>42.75</t>
  </si>
  <si>
    <t>90 TPS</t>
  </si>
  <si>
    <t>Low TPS — 16 ECPUs handle comfortably</t>
  </si>
  <si>
    <t>Top Wait: Row Lock</t>
  </si>
  <si>
    <t>9.48% DBt</t>
  </si>
  <si>
    <t>14.14% DBt</t>
  </si>
  <si>
    <t>11.47% combined</t>
  </si>
  <si>
    <t>APPLICATION issue — persists everywhere</t>
  </si>
  <si>
    <t>Top Wait: Seq Read</t>
  </si>
  <si>
    <t>14.82% DBt</t>
  </si>
  <si>
    <t>12.39% DBt</t>
  </si>
  <si>
    <t>13.75% combined</t>
  </si>
  <si>
    <t>Eliminated by Exadata flash cache</t>
  </si>
  <si>
    <t>RAC Cluster Wait</t>
  </si>
  <si>
    <t>3.4% DBt</t>
  </si>
  <si>
    <t>3.4% total</t>
  </si>
  <si>
    <t>Overhead eliminated on VM/PG options</t>
  </si>
  <si>
    <t>SGA Target (MB)</t>
  </si>
  <si>
    <t>16,384</t>
  </si>
  <si>
    <t>32,768 total</t>
  </si>
  <si>
    <t>Map to shared_buffers / PG buffer pool</t>
  </si>
  <si>
    <t>PGA Target (MB)</t>
  </si>
  <si>
    <t>12,288</t>
  </si>
  <si>
    <t>24,576 total</t>
  </si>
  <si>
    <t>Map to work_mem in PostgreSQL</t>
  </si>
  <si>
    <t>3.2  Wait Event Impact by Migration Platform</t>
  </si>
  <si>
    <t>Wait Event</t>
  </si>
  <si>
    <t>% DB Time</t>
  </si>
  <si>
    <t>ODB Exascale</t>
  </si>
  <si>
    <t>ODB Dedicated</t>
  </si>
  <si>
    <t>Oracle on AzVM</t>
  </si>
  <si>
    <t>Azure PostgreSQL</t>
  </si>
  <si>
    <t>DB CPU</t>
  </si>
  <si>
    <t>61.03%</t>
  </si>
  <si>
    <t>Same</t>
  </si>
  <si>
    <t>db file sequential read</t>
  </si>
  <si>
    <t>13.75%</t>
  </si>
  <si>
    <t>ELIMINATED (flash)</t>
  </si>
  <si>
    <t>Reduced (SSD)</t>
  </si>
  <si>
    <t>enq: TX row lock</t>
  </si>
  <si>
    <t>11.47%</t>
  </si>
  <si>
    <t>Present (app)</t>
  </si>
  <si>
    <t>pg advisory locks needed</t>
  </si>
  <si>
    <t>gc current block (RAC)</t>
  </si>
  <si>
    <t>1.86%</t>
  </si>
  <si>
    <t>Preserved (RAC)</t>
  </si>
  <si>
    <t>ELIMINATED</t>
  </si>
  <si>
    <t>db file parallel read</t>
  </si>
  <si>
    <t>1.67%</t>
  </si>
  <si>
    <t>Flash benefit</t>
  </si>
  <si>
    <t>SSD only</t>
  </si>
  <si>
    <t>gc cr grant (RAC)</t>
  </si>
  <si>
    <t>1.55%</t>
  </si>
  <si>
    <t>direct path read</t>
  </si>
  <si>
    <t>1.25%</t>
  </si>
  <si>
    <t>Smart Scan 30×</t>
  </si>
  <si>
    <t>Smart Scan</t>
  </si>
  <si>
    <t>SSD direct</t>
  </si>
  <si>
    <t>pg parallel query</t>
  </si>
  <si>
    <t>log file sync</t>
  </si>
  <si>
    <t>1.09%</t>
  </si>
  <si>
    <t>Same/better</t>
  </si>
  <si>
    <t>Similar</t>
  </si>
  <si>
    <t>WAL write similar</t>
  </si>
  <si>
    <t>Backup: MML write (bg)</t>
  </si>
  <si>
    <t>41.84%bg</t>
  </si>
  <si>
    <t>ARS managed</t>
  </si>
  <si>
    <t>Azure Backup</t>
  </si>
  <si>
    <t>3-Year Total Cost of Ownership — Database + Oracle Forms Application (USD)</t>
  </si>
  <si>
    <t>Key Assumptions  (Yellow = editable inputs)</t>
  </si>
  <si>
    <t>Oracle DB Annual Support Escalation</t>
  </si>
  <si>
    <t>5% annual increase</t>
  </si>
  <si>
    <t>Oracle WLS Annual Support Escalation</t>
  </si>
  <si>
    <t>ODB@Azure BYOL ECPU Rate ($/hr)</t>
  </si>
  <si>
    <t>Exascale BYOL; LI ~$10.48/hr</t>
  </si>
  <si>
    <t>ECPUs for DB (Exascale, 2-node HA)</t>
  </si>
  <si>
    <t>16 ECPUs × 2 VMs</t>
  </si>
  <si>
    <t>Exascale Infra Min ($/mo)</t>
  </si>
  <si>
    <t>Entry Exascale subscription</t>
  </si>
  <si>
    <t>Oracle on Azure VM — E32ds_v5 ($/mo, 1yr)</t>
  </si>
  <si>
    <t>1-yr reserved, East US 2</t>
  </si>
  <si>
    <t>Azure PG D32ds_v5 ($/mo, 1yr reserved)</t>
  </si>
  <si>
    <t>32vCPU/128GB</t>
  </si>
  <si>
    <t>Forms VM — D8ds_v5 ($/mo, 1yr reserved)</t>
  </si>
  <si>
    <t>8vCPU/32GB; adequate for 150 concurrent Forms users</t>
  </si>
  <si>
    <t>Modern App — Azure App Svc P3v3 ($/mo)</t>
  </si>
  <si>
    <t>4vCPU/14GB; 2× instances for HA</t>
  </si>
  <si>
    <t>DBA FTE Fully-Loaded ($/yr)</t>
  </si>
  <si>
    <t>Including benefits</t>
  </si>
  <si>
    <t>App Dev / WLS Admin FTE ($/yr)</t>
  </si>
  <si>
    <t>WebLogic admin / Forms admin</t>
  </si>
  <si>
    <t>WLS Annual Support (8 proc lic, 22%)</t>
  </si>
  <si>
    <t>8 proc × $100K suite × 22%</t>
  </si>
  <si>
    <t>DB Oracle Support — Baseline ($/yr)</t>
  </si>
  <si>
    <t>32 proc lic EE+RAC+options</t>
  </si>
  <si>
    <t>ODB@Azure Support Rewards Rate</t>
  </si>
  <si>
    <t>25% of ODB ECPU spend credited vs DB support</t>
  </si>
  <si>
    <t>Forms Migration Cost — Lift &amp; Shift</t>
  </si>
  <si>
    <t>Year 1 only: VM setup, testing, DNS</t>
  </si>
  <si>
    <t>DB Migration Cost — Lift &amp; Shift</t>
  </si>
  <si>
    <t>Year 1 only: RMAN, DG, testing</t>
  </si>
  <si>
    <t>DB Migration Cost — Re-Platform (PG)</t>
  </si>
  <si>
    <t>Year 1 only: ora2pg + PL/SQL conversion</t>
  </si>
  <si>
    <t>Forms Rewrite Cost (React/Angular)</t>
  </si>
  <si>
    <t>Year 1: Full Forms rewrite project</t>
  </si>
  <si>
    <t>Year 1 — Combined Database + Forms Cost Breakdown</t>
  </si>
  <si>
    <t>Cost Category</t>
  </si>
  <si>
    <t>On-Prem
Oracle RAC+Forms</t>
  </si>
  <si>
    <t>ODB@Azure
Exascale+Forms VM</t>
  </si>
  <si>
    <t>ODB@Azure
Dedicated+Forms VM</t>
  </si>
  <si>
    <t>Oracle on
AzVM+Forms VM</t>
  </si>
  <si>
    <t>Azure PG
+Modern App</t>
  </si>
  <si>
    <t>Note</t>
  </si>
  <si>
    <t>── DATABASE COSTS ──</t>
  </si>
  <si>
    <t>Oracle DB License Support</t>
  </si>
  <si>
    <t>BYOL: existing support; ODB earns rewards</t>
  </si>
  <si>
    <t>DB Support Rewards (ODB only)</t>
  </si>
  <si>
    <t>25% of ECPU spend: 32 ECPUs×$1.77×8760×0.25</t>
  </si>
  <si>
    <t>ODB Exascale Infra</t>
  </si>
  <si>
    <t>$357/mo × 12</t>
  </si>
  <si>
    <t>ODB Exascale ECPU (BYOL)</t>
  </si>
  <si>
    <t>32 ECPUs × $1.77/hr × 8,760h</t>
  </si>
  <si>
    <t>ODB Dedicated Infra (Qtr rack)</t>
  </si>
  <si>
    <t>$8,000/mo × 12</t>
  </si>
  <si>
    <t>ODB Dedicated OCPU (BYOL)</t>
  </si>
  <si>
    <t>8 OCPUs × $2.52/hr × 8,760h</t>
  </si>
  <si>
    <t>Oracle on AzVM Compute</t>
  </si>
  <si>
    <t>E32ds_v5 1-yr reserved $1,682/mo × 12</t>
  </si>
  <si>
    <t>Oracle on AzVM Storage</t>
  </si>
  <si>
    <t>4TB Premium SSD v2 ~$2,500/mo</t>
  </si>
  <si>
    <t>Azure PostgreSQL Compute</t>
  </si>
  <si>
    <t>D32ds_v5 1-yr reserved $3,800/mo</t>
  </si>
  <si>
    <t>Azure PG Storage (4TB)</t>
  </si>
  <si>
    <t>Premium SSD v2</t>
  </si>
  <si>
    <t>DB Backup</t>
  </si>
  <si>
    <t>RMAN/ARS/Azure Backup</t>
  </si>
  <si>
    <t>DB Network / Interconnect</t>
  </si>
  <si>
    <t>VNet; no OCI egress for ODB@Azure</t>
  </si>
  <si>
    <t>DB Migration Cost (Yr1 only)</t>
  </si>
  <si>
    <t>Lift+shift vs re-platform</t>
  </si>
  <si>
    <t>── ORACLE FORMS / APP COSTS ──</t>
  </si>
  <si>
    <t>WLS Annual Support (8 proc)</t>
  </si>
  <si>
    <t>Forms bundled in WLS Suite support</t>
  </si>
  <si>
    <t>Forms/WLS Server Compute</t>
  </si>
  <si>
    <t>On-prem: est; Azure: D8ds_v5 $526/mo × 12 | PG: App Svc P3v3 $614/mo</t>
  </si>
  <si>
    <t>Forms/App Storage</t>
  </si>
  <si>
    <t>SAN on-prem; Azure Managed Disk / App Svc storage</t>
  </si>
  <si>
    <t>Forms/App Backup</t>
  </si>
  <si>
    <t>Azure VM Backup ~$300/mo; App Svc = included</t>
  </si>
  <si>
    <t>Forms App Migration (Yr1 only)</t>
  </si>
  <si>
    <t>Lift &amp; shift vs full rewrite</t>
  </si>
  <si>
    <t>── INFRA &amp; LABOR ──</t>
  </si>
  <si>
    <t>Server Hardware (amortized)</t>
  </si>
  <si>
    <t>5-yr CapEx refresh</t>
  </si>
  <si>
    <t>Data Center / Power / Cooling</t>
  </si>
  <si>
    <t>Eliminated in cloud</t>
  </si>
  <si>
    <t>On-Prem Storage (SAN)</t>
  </si>
  <si>
    <t>DBA Labor</t>
  </si>
  <si>
    <t>On-prem: 2 FTE; cloud: 1.5 FTE; PG: 1 FTE</t>
  </si>
  <si>
    <t>App/WLS Admin Labor</t>
  </si>
  <si>
    <t>On-prem: 1 FTE; cloud: 0.75 FTE; modern: 0.5 FTE</t>
  </si>
  <si>
    <t>Azure Support Plan</t>
  </si>
  <si>
    <t>Business ~$2K/mo</t>
  </si>
  <si>
    <t>Monitoring / Tools</t>
  </si>
  <si>
    <t>OEM; OCI+Azure Monitor; custom</t>
  </si>
  <si>
    <t>TOTAL — YEAR 1 (DB + Forms)</t>
  </si>
  <si>
    <t>Year 2 — Combined Database + Forms Cost Breakdown</t>
  </si>
  <si>
    <t>TOTAL — YEAR 2 (DB + Forms)</t>
  </si>
  <si>
    <t>Year 3 — Combined Database + Forms Cost Breakdown</t>
  </si>
  <si>
    <t>TOTAL — YEAR 3 (DB + Forms)</t>
  </si>
  <si>
    <t>3-Year TCO Summary — Database + Oracle Forms Application</t>
  </si>
  <si>
    <t>Scenario</t>
  </si>
  <si>
    <t>Year 1</t>
  </si>
  <si>
    <t>Year 2</t>
  </si>
  <si>
    <t>Year 3</t>
  </si>
  <si>
    <t>3-Year Total</t>
  </si>
  <si>
    <t>Saving %</t>
  </si>
  <si>
    <t>Rating</t>
  </si>
  <si>
    <t>On-Prem Oracle RAC + Forms</t>
  </si>
  <si>
    <t>ODB@Azure Exascale + Forms VM</t>
  </si>
  <si>
    <t>ODB@Azure Dedicated + Forms VM</t>
  </si>
  <si>
    <t>HIGH PERFORMANCE</t>
  </si>
  <si>
    <t>Oracle on AzVM + Forms VM</t>
  </si>
  <si>
    <t>Azure PG + Modern Web App</t>
  </si>
  <si>
    <t>FULL MODERNIZE</t>
  </si>
  <si>
    <t>On-Prem baseline includes DB + Forms infrastructure + all Oracle license support (DB $700K + WLS $176K + HW + labor). ODB@Azure options use BYOL (reuse existing licenses). Azure PG + Modern App eliminates ALL Oracle licenses and requires full DB re-platform + Forms rewrite — highest Year 1 but lowest Years 2–3. Break-even vs on-prem: ~Month 10 (Exascale), ~Month 28 (PG modernize). Support Rewards: 25% of ODB ECPU spend credited vs Oracle DB support fees.</t>
  </si>
  <si>
    <t>Competitive Analysis — Visual Dashboard (DB + Oracle Forms)</t>
  </si>
  <si>
    <t>3-Year TCO — DB + Forms Combined</t>
  </si>
  <si>
    <t>3-Yr Total</t>
  </si>
  <si>
    <t>% Saving</t>
  </si>
  <si>
    <t>On-Prem Oracle RAC+Forms</t>
  </si>
  <si>
    <t>ODB@Azure Exascale+Forms VM</t>
  </si>
  <si>
    <t>ODB@Azure Dedicated+Forms VM</t>
  </si>
  <si>
    <t>Oracle on AzVM+Forms VM</t>
  </si>
  <si>
    <t>Azure PG+Modern App</t>
  </si>
  <si>
    <t>Year 1 Cost Breakdown by Component</t>
  </si>
  <si>
    <t>Oracle AzVM</t>
  </si>
  <si>
    <t>Azure PG+App</t>
  </si>
  <si>
    <t>Weighted Scorecard Results</t>
  </si>
  <si>
    <t>Score (of 5.0)</t>
  </si>
  <si>
    <t>DB Compute / Infra</t>
  </si>
  <si>
    <t>ODB@Azure Exascale+Forms</t>
  </si>
  <si>
    <t>Oracle WLS Support</t>
  </si>
  <si>
    <t>ODB@Azure Dedicated+Forms</t>
  </si>
  <si>
    <t>Forms / App Compute</t>
  </si>
  <si>
    <t>Oracle AzVM+Forms</t>
  </si>
  <si>
    <t>DB + Forms Migration</t>
  </si>
  <si>
    <t>Labor (DBA + WLS Admin)</t>
  </si>
  <si>
    <t>On-Prem (baseline)</t>
  </si>
  <si>
    <t>Storage + Backup +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</si>
</sst>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.00"/>
    <numFmt numFmtId="166" formatCode="\$#,##0"/>
  </numFmts>
  <fonts count="2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sz val="10"/>
      <color rgb="FF375623"/>
      <name val="Arial"/>
      <charset val="1"/>
    </font>
    <font>
      <sz val="10"/>
      <color rgb="FFC55A11"/>
      <name val="Arial"/>
      <charset val="1"/>
    </font>
    <font>
      <sz val="10"/>
      <color rgb="FFFF0000"/>
      <name val="Arial"/>
      <charset val="1"/>
    </font>
    <font>
      <i/>
      <sz val="9"/>
      <color rgb="FF595959"/>
      <name val="Arial"/>
      <charset val="1"/>
    </font>
    <font>
      <b/>
      <sz val="13"/>
      <color rgb="FFFFFFFF"/>
      <name val="Arial"/>
      <charset val="1"/>
    </font>
    <font>
      <b/>
      <sz val="10"/>
      <color rgb="FFC55A11"/>
      <name val="Arial"/>
      <charset val="1"/>
    </font>
    <font>
      <b/>
      <sz val="10"/>
      <color rgb="FFFF0000"/>
      <name val="Arial"/>
      <charset val="1"/>
    </font>
    <font>
      <b/>
      <sz val="12"/>
      <color rgb="FFFFFFFF"/>
      <name val="Arial"/>
      <charset val="1"/>
    </font>
    <font>
      <b/>
      <sz val="10"/>
      <color rgb="FF595959"/>
      <name val="Arial"/>
      <charset val="1"/>
    </font>
    <font>
      <b/>
      <sz val="10"/>
      <color rgb="FF7B2D8B"/>
      <name val="Arial"/>
      <charset val="1"/>
    </font>
    <font>
      <b/>
      <sz val="10"/>
      <color rgb="FF0000FF"/>
      <name val="Arial"/>
      <charset val="1"/>
    </font>
    <font>
      <b/>
      <sz val="10"/>
      <color rgb="FF006666"/>
      <name val="Arial"/>
      <charset val="1"/>
    </font>
    <font>
      <b/>
      <sz val="10"/>
      <color rgb="FF5C2D91"/>
      <name val="Arial"/>
      <charset val="1"/>
    </font>
    <font>
      <b/>
      <sz val="10"/>
      <color rgb="FF0078D4"/>
      <name val="Arial"/>
      <charset val="1"/>
    </font>
    <font>
      <b/>
      <sz val="10"/>
      <color rgb="FF336791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C74634"/>
        <bgColor rgb="FFC0504D"/>
      </patternFill>
    </fill>
    <fill>
      <patternFill patternType="solid">
        <fgColor rgb="FF7B2D8B"/>
        <bgColor rgb="FF5C2D91"/>
      </patternFill>
    </fill>
    <fill>
      <patternFill patternType="solid">
        <fgColor rgb="FF006666"/>
        <bgColor rgb="FF1F4E79"/>
      </patternFill>
    </fill>
    <fill>
      <patternFill patternType="solid">
        <fgColor rgb="FF5C2D91"/>
        <bgColor rgb="FF7B2D8B"/>
      </patternFill>
    </fill>
    <fill>
      <patternFill patternType="solid">
        <fgColor rgb="FF0078D4"/>
        <bgColor rgb="FF2E75B6"/>
      </patternFill>
    </fill>
    <fill>
      <patternFill patternType="solid">
        <fgColor rgb="FF336791"/>
        <bgColor rgb="FF2E75B6"/>
      </patternFill>
    </fill>
    <fill>
      <patternFill patternType="solid">
        <fgColor rgb="FFFCE4D6"/>
        <bgColor rgb="FFF3E5F5"/>
      </patternFill>
    </fill>
    <fill>
      <patternFill patternType="solid">
        <fgColor rgb="FFD5F5F2"/>
        <bgColor rgb="FFD6EAF8"/>
      </patternFill>
    </fill>
    <fill>
      <patternFill patternType="solid">
        <fgColor rgb="FFEDE7F6"/>
        <bgColor rgb="FFF3E5F5"/>
      </patternFill>
    </fill>
    <fill>
      <patternFill patternType="solid">
        <fgColor rgb="FFDEECF9"/>
        <bgColor rgb="FFD6EAF8"/>
      </patternFill>
    </fill>
    <fill>
      <patternFill patternType="solid">
        <fgColor rgb="FFD6EAF8"/>
        <bgColor rgb="FFDEECF9"/>
      </patternFill>
    </fill>
    <fill>
      <patternFill patternType="solid">
        <fgColor rgb="FFC55A11"/>
        <bgColor rgb="FFC74634"/>
      </patternFill>
    </fill>
    <fill>
      <patternFill patternType="solid">
        <fgColor rgb="FF1F4E79"/>
        <bgColor rgb="FF336791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336791"/>
      </patternFill>
    </fill>
    <fill>
      <patternFill patternType="solid">
        <fgColor rgb="FFF3E5F5"/>
        <bgColor rgb="FFEDE7F6"/>
      </patternFill>
    </fill>
    <fill>
      <patternFill patternType="solid">
        <fgColor rgb="FFF2F2F2"/>
        <bgColor rgb="FFEBF3FB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1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left" vertical="center"/>
    </xf>
    <xf numFmtId="0" fontId="4" fillId="16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left" vertical="center"/>
    </xf>
    <xf numFmtId="0" fontId="4" fillId="16" borderId="2" xfId="0" applyFont="1" applyFill="1" applyBorder="1" applyAlignment="1">
      <alignment horizontal="left" vertical="center"/>
    </xf>
    <xf numFmtId="0" fontId="5" fillId="16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left" vertical="center"/>
    </xf>
    <xf numFmtId="0" fontId="15" fillId="18" borderId="2" xfId="0" applyFont="1" applyFill="1" applyBorder="1" applyAlignment="1">
      <alignment horizontal="left" vertical="center"/>
    </xf>
    <xf numFmtId="164" fontId="16" fillId="20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5" fontId="16" fillId="20" borderId="2" xfId="0" applyNumberFormat="1" applyFont="1" applyFill="1" applyBorder="1" applyAlignment="1">
      <alignment horizontal="center" vertical="center"/>
    </xf>
    <xf numFmtId="3" fontId="16" fillId="20" borderId="2" xfId="0" applyNumberFormat="1" applyFont="1" applyFill="1" applyBorder="1" applyAlignment="1">
      <alignment horizontal="center" vertical="center"/>
    </xf>
    <xf numFmtId="166" fontId="16" fillId="20" borderId="2" xfId="0" applyNumberFormat="1" applyFont="1" applyFill="1" applyBorder="1" applyAlignment="1">
      <alignment horizontal="center" vertical="center"/>
    </xf>
    <xf numFmtId="166" fontId="4" fillId="16" borderId="2" xfId="0" applyNumberFormat="1" applyFont="1" applyFill="1" applyBorder="1" applyAlignment="1">
      <alignment horizontal="center" vertical="center"/>
    </xf>
    <xf numFmtId="166" fontId="4" fillId="15" borderId="2" xfId="0" applyNumberFormat="1" applyFont="1" applyFill="1" applyBorder="1" applyAlignment="1">
      <alignment horizontal="center" vertical="center"/>
    </xf>
    <xf numFmtId="166" fontId="6" fillId="15" borderId="2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left" vertical="center"/>
    </xf>
    <xf numFmtId="166" fontId="11" fillId="8" borderId="3" xfId="0" applyNumberFormat="1" applyFont="1" applyFill="1" applyBorder="1" applyAlignment="1">
      <alignment horizontal="center" vertical="center"/>
    </xf>
    <xf numFmtId="166" fontId="17" fillId="9" borderId="3" xfId="0" applyNumberFormat="1" applyFont="1" applyFill="1" applyBorder="1" applyAlignment="1">
      <alignment horizontal="center" vertical="center"/>
    </xf>
    <xf numFmtId="166" fontId="18" fillId="10" borderId="3" xfId="0" applyNumberFormat="1" applyFont="1" applyFill="1" applyBorder="1" applyAlignment="1">
      <alignment horizontal="center" vertical="center"/>
    </xf>
    <xf numFmtId="166" fontId="19" fillId="11" borderId="3" xfId="0" applyNumberFormat="1" applyFont="1" applyFill="1" applyBorder="1" applyAlignment="1">
      <alignment horizontal="center" vertical="center"/>
    </xf>
    <xf numFmtId="166" fontId="20" fillId="12" borderId="3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166" fontId="11" fillId="8" borderId="2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left" vertical="center"/>
    </xf>
    <xf numFmtId="166" fontId="17" fillId="9" borderId="2" xfId="0" applyNumberFormat="1" applyFont="1" applyFill="1" applyBorder="1" applyAlignment="1">
      <alignment horizontal="center" vertical="center"/>
    </xf>
    <xf numFmtId="166" fontId="5" fillId="9" borderId="2" xfId="0" applyNumberFormat="1" applyFont="1" applyFill="1" applyBorder="1" applyAlignment="1">
      <alignment horizontal="center"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left" vertical="center"/>
    </xf>
    <xf numFmtId="166" fontId="18" fillId="10" borderId="2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>
      <alignment horizontal="center" vertical="center"/>
    </xf>
    <xf numFmtId="164" fontId="5" fillId="10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left" vertical="center"/>
    </xf>
    <xf numFmtId="166" fontId="19" fillId="11" borderId="2" xfId="0" applyNumberFormat="1" applyFont="1" applyFill="1" applyBorder="1" applyAlignment="1">
      <alignment horizontal="center" vertical="center"/>
    </xf>
    <xf numFmtId="166" fontId="5" fillId="11" borderId="2" xfId="0" applyNumberFormat="1" applyFont="1" applyFill="1" applyBorder="1" applyAlignment="1">
      <alignment horizontal="center" vertical="center"/>
    </xf>
    <xf numFmtId="164" fontId="5" fillId="11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left" vertical="center"/>
    </xf>
    <xf numFmtId="166" fontId="20" fillId="12" borderId="2" xfId="0" applyNumberFormat="1" applyFont="1" applyFill="1" applyBorder="1" applyAlignment="1">
      <alignment horizontal="center" vertical="center"/>
    </xf>
    <xf numFmtId="166" fontId="5" fillId="12" borderId="2" xfId="0" applyNumberFormat="1" applyFont="1" applyFill="1" applyBorder="1" applyAlignment="1">
      <alignment horizontal="center" vertical="center"/>
    </xf>
    <xf numFmtId="164" fontId="5" fillId="12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64" fontId="11" fillId="8" borderId="2" xfId="0" applyNumberFormat="1" applyFont="1" applyFill="1" applyBorder="1" applyAlignment="1">
      <alignment horizontal="center" vertical="center"/>
    </xf>
    <xf numFmtId="164" fontId="17" fillId="9" borderId="2" xfId="0" applyNumberFormat="1" applyFont="1" applyFill="1" applyBorder="1" applyAlignment="1">
      <alignment horizontal="center" vertical="center"/>
    </xf>
    <xf numFmtId="164" fontId="18" fillId="10" borderId="2" xfId="0" applyNumberFormat="1" applyFont="1" applyFill="1" applyBorder="1" applyAlignment="1">
      <alignment horizontal="center" vertical="center"/>
    </xf>
    <xf numFmtId="164" fontId="19" fillId="11" borderId="2" xfId="0" applyNumberFormat="1" applyFont="1" applyFill="1" applyBorder="1" applyAlignment="1">
      <alignment horizontal="center" vertical="center"/>
    </xf>
    <xf numFmtId="164" fontId="20" fillId="12" borderId="2" xfId="0" applyNumberFormat="1" applyFont="1" applyFill="1" applyBorder="1" applyAlignment="1">
      <alignment horizontal="center" vertical="center"/>
    </xf>
    <xf numFmtId="166" fontId="4" fillId="8" borderId="2" xfId="0" applyNumberFormat="1" applyFont="1" applyFill="1" applyBorder="1" applyAlignment="1">
      <alignment horizontal="center" vertical="center"/>
    </xf>
    <xf numFmtId="166" fontId="4" fillId="9" borderId="2" xfId="0" applyNumberFormat="1" applyFont="1" applyFill="1" applyBorder="1" applyAlignment="1">
      <alignment horizontal="center" vertical="center"/>
    </xf>
    <xf numFmtId="166" fontId="4" fillId="10" borderId="2" xfId="0" applyNumberFormat="1" applyFont="1" applyFill="1" applyBorder="1" applyAlignment="1">
      <alignment horizontal="center" vertical="center"/>
    </xf>
    <xf numFmtId="166" fontId="4" fillId="11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/>
    <xf numFmtId="2" fontId="11" fillId="8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/>
    <xf numFmtId="2" fontId="17" fillId="9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/>
    <xf numFmtId="2" fontId="18" fillId="10" borderId="2" xfId="0" applyNumberFormat="1" applyFont="1" applyFill="1" applyBorder="1" applyAlignment="1">
      <alignment horizontal="center" vertical="center"/>
    </xf>
    <xf numFmtId="0" fontId="4" fillId="11" borderId="2" xfId="0" applyFont="1" applyFill="1" applyBorder="1"/>
    <xf numFmtId="2" fontId="19" fillId="11" borderId="2" xfId="0" applyNumberFormat="1" applyFont="1" applyFill="1" applyBorder="1" applyAlignment="1">
      <alignment horizontal="center" vertical="center"/>
    </xf>
    <xf numFmtId="0" fontId="4" fillId="12" borderId="2" xfId="0" applyFont="1" applyFill="1" applyBorder="1"/>
    <xf numFmtId="2" fontId="20" fillId="12" borderId="2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" fillId="17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95959"/>
      <rgbColor rgb="FF800080"/>
      <rgbColor rgb="FF006666"/>
      <rgbColor rgb="FFBFBFBF"/>
      <rgbColor rgb="FF878787"/>
      <rgbColor rgb="FF9999FF"/>
      <rgbColor rgb="FF7B2D8B"/>
      <rgbColor rgb="FFF9F9F9"/>
      <rgbColor rgb="FFD5F5F2"/>
      <rgbColor rgb="FF660066"/>
      <rgbColor rgb="FFFF8080"/>
      <rgbColor rgb="FF0078D4"/>
      <rgbColor rgb="FFD9D9D9"/>
      <rgbColor rgb="FF000080"/>
      <rgbColor rgb="FFFF00FF"/>
      <rgbColor rgb="FFFFFF00"/>
      <rgbColor rgb="FF00FFFF"/>
      <rgbColor rgb="FF800080"/>
      <rgbColor rgb="FF800000"/>
      <rgbColor rgb="FF336791"/>
      <rgbColor rgb="FF0000FF"/>
      <rgbColor rgb="FF00CCFF"/>
      <rgbColor rgb="FFD6EAF8"/>
      <rgbColor rgb="FFDEECF9"/>
      <rgbColor rgb="FFF2F2F2"/>
      <rgbColor rgb="FFEDE7F6"/>
      <rgbColor rgb="FFF3E5F5"/>
      <rgbColor rgb="FFEBF3FB"/>
      <rgbColor rgb="FFFCE4D6"/>
      <rgbColor rgb="FF2E75B6"/>
      <rgbColor rgb="FF33CCCC"/>
      <rgbColor rgb="FF9BBB59"/>
      <rgbColor rgb="FFFFCC00"/>
      <rgbColor rgb="FFFF9900"/>
      <rgbColor rgb="FFC55A11"/>
      <rgbColor rgb="FF8064A2"/>
      <rgbColor rgb="FF70AD47"/>
      <rgbColor rgb="FF1F4E79"/>
      <rgbColor rgb="FF4F81BD"/>
      <rgbColor rgb="FF003300"/>
      <rgbColor rgb="FF3A0A00"/>
      <rgbColor rgb="FFC74634"/>
      <rgbColor rgb="FFC0504D"/>
      <rgbColor rgb="FF5C2D91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Annual Total Cost: DB + Oracle Forms (5-Way)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C7463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Charts!$A$5:$A$9</c:f>
              <c:strCache>
                <c:ptCount val="5"/>
                <c:pt idx="0">
                  <c:v>On-Prem Oracle RAC+Forms</c:v>
                </c:pt>
                <c:pt idx="1">
                  <c:v>ODB@Azure Exascale+Forms VM</c:v>
                </c:pt>
                <c:pt idx="2">
                  <c:v>ODB@Azure Dedicated+Forms VM</c:v>
                </c:pt>
                <c:pt idx="3">
                  <c:v>Oracle on AzVM+Forms VM</c:v>
                </c:pt>
                <c:pt idx="4">
                  <c:v>Azure PG+Modern App</c:v>
                </c:pt>
              </c:strCache>
            </c:strRef>
          </c:cat>
          <c:val>
            <c:numRef>
              <c:f>Charts!$B$5:$B$9</c:f>
              <c:numCache>
                <c:formatCode>\$#,##0</c:formatCode>
                <c:ptCount val="5"/>
                <c:pt idx="0">
                  <c:v>1898000</c:v>
                </c:pt>
                <c:pt idx="1">
                  <c:v>1252888</c:v>
                </c:pt>
                <c:pt idx="2">
                  <c:v>1671251</c:v>
                </c:pt>
                <c:pt idx="3">
                  <c:v>1490696</c:v>
                </c:pt>
                <c:pt idx="4">
                  <c:v>743368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6-44E9-A690-AE3A90E40251}"/>
            </c:ext>
          </c:extLst>
        </c:ser>
        <c:ser>
          <c:idx val="1"/>
          <c:order val="1"/>
          <c:tx>
            <c:strRef>
              <c:f>Charts!$C$4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00666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Charts!$A$5:$A$9</c:f>
              <c:strCache>
                <c:ptCount val="5"/>
                <c:pt idx="0">
                  <c:v>On-Prem Oracle RAC+Forms</c:v>
                </c:pt>
                <c:pt idx="1">
                  <c:v>ODB@Azure Exascale+Forms VM</c:v>
                </c:pt>
                <c:pt idx="2">
                  <c:v>ODB@Azure Dedicated+Forms VM</c:v>
                </c:pt>
                <c:pt idx="3">
                  <c:v>Oracle on AzVM+Forms VM</c:v>
                </c:pt>
                <c:pt idx="4">
                  <c:v>Azure PG+Modern App</c:v>
                </c:pt>
              </c:strCache>
            </c:strRef>
          </c:cat>
          <c:val>
            <c:numRef>
              <c:f>Charts!$C$5:$C$9</c:f>
              <c:numCache>
                <c:formatCode>\$#,##0</c:formatCode>
                <c:ptCount val="5"/>
                <c:pt idx="0">
                  <c:v>1583000</c:v>
                </c:pt>
                <c:pt idx="1">
                  <c:v>956488</c:v>
                </c:pt>
                <c:pt idx="2">
                  <c:v>1342751</c:v>
                </c:pt>
                <c:pt idx="3">
                  <c:v>1310696</c:v>
                </c:pt>
                <c:pt idx="4">
                  <c:v>523368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96-44E9-A690-AE3A90E40251}"/>
            </c:ext>
          </c:extLst>
        </c:ser>
        <c:ser>
          <c:idx val="2"/>
          <c:order val="2"/>
          <c:tx>
            <c:strRef>
              <c:f>Charts!$D$4</c:f>
              <c:strCache>
                <c:ptCount val="1"/>
                <c:pt idx="0">
                  <c:v>Year 3</c:v>
                </c:pt>
              </c:strCache>
            </c:strRef>
          </c:tx>
          <c:spPr>
            <a:solidFill>
              <a:srgbClr val="5C2D9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Charts!$A$5:$A$9</c:f>
              <c:strCache>
                <c:ptCount val="5"/>
                <c:pt idx="0">
                  <c:v>On-Prem Oracle RAC+Forms</c:v>
                </c:pt>
                <c:pt idx="1">
                  <c:v>ODB@Azure Exascale+Forms VM</c:v>
                </c:pt>
                <c:pt idx="2">
                  <c:v>ODB@Azure Dedicated+Forms VM</c:v>
                </c:pt>
                <c:pt idx="3">
                  <c:v>Oracle on AzVM+Forms VM</c:v>
                </c:pt>
                <c:pt idx="4">
                  <c:v>Azure PG+Modern App</c:v>
                </c:pt>
              </c:strCache>
            </c:strRef>
          </c:cat>
          <c:val>
            <c:numRef>
              <c:f>Charts!$D$5:$D$9</c:f>
              <c:numCache>
                <c:formatCode>\$#,##0</c:formatCode>
                <c:ptCount val="5"/>
                <c:pt idx="0">
                  <c:v>1600000</c:v>
                </c:pt>
                <c:pt idx="1">
                  <c:v>974488</c:v>
                </c:pt>
                <c:pt idx="2">
                  <c:v>1360751</c:v>
                </c:pt>
                <c:pt idx="3">
                  <c:v>1328696</c:v>
                </c:pt>
                <c:pt idx="4">
                  <c:v>541368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96-44E9-A690-AE3A90E40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70311"/>
        <c:axId val="61146298"/>
      </c:barChart>
      <c:catAx>
        <c:axId val="334703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146298"/>
        <c:crosses val="autoZero"/>
        <c:auto val="1"/>
        <c:lblAlgn val="ctr"/>
        <c:lblOffset val="100"/>
        <c:noMultiLvlLbl val="0"/>
      </c:catAx>
      <c:valAx>
        <c:axId val="61146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4703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3-Year Saving vs On-Premises (DB + Forms)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Charts!$F$4</c:f>
              <c:strCache>
                <c:ptCount val="1"/>
                <c:pt idx="0">
                  <c:v>Saving vs On-Prem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Charts!$A$5:$A$9</c:f>
              <c:strCache>
                <c:ptCount val="5"/>
                <c:pt idx="0">
                  <c:v>On-Prem Oracle RAC+Forms</c:v>
                </c:pt>
                <c:pt idx="1">
                  <c:v>ODB@Azure Exascale+Forms VM</c:v>
                </c:pt>
                <c:pt idx="2">
                  <c:v>ODB@Azure Dedicated+Forms VM</c:v>
                </c:pt>
                <c:pt idx="3">
                  <c:v>Oracle on AzVM+Forms VM</c:v>
                </c:pt>
                <c:pt idx="4">
                  <c:v>Azure PG+Modern App</c:v>
                </c:pt>
              </c:strCache>
            </c:strRef>
          </c:cat>
          <c:val>
            <c:numRef>
              <c:f>Charts!$F$5:$F$9</c:f>
              <c:numCache>
                <c:formatCode>\$#,##0</c:formatCode>
                <c:ptCount val="5"/>
                <c:pt idx="0" formatCode="General">
                  <c:v>0</c:v>
                </c:pt>
                <c:pt idx="1">
                  <c:v>1897136</c:v>
                </c:pt>
                <c:pt idx="2">
                  <c:v>706247</c:v>
                </c:pt>
                <c:pt idx="3">
                  <c:v>950912</c:v>
                </c:pt>
                <c:pt idx="4">
                  <c:v>3272896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A-47B6-A006-1380BD677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409683"/>
        <c:axId val="93644872"/>
      </c:barChart>
      <c:catAx>
        <c:axId val="2740968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 Saving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644872"/>
        <c:crosses val="autoZero"/>
        <c:auto val="1"/>
        <c:lblAlgn val="ctr"/>
        <c:lblOffset val="100"/>
        <c:noMultiLvlLbl val="0"/>
      </c:catAx>
      <c:valAx>
        <c:axId val="936448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Option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4096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Year 1 Cost by Component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Charts!$B$27</c:f>
              <c:strCache>
                <c:ptCount val="1"/>
                <c:pt idx="0">
                  <c:v>On-Prem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Charts!$A$28:$A$34</c:f>
              <c:strCache>
                <c:ptCount val="7"/>
                <c:pt idx="0">
                  <c:v>Oracle DB License Support</c:v>
                </c:pt>
                <c:pt idx="1">
                  <c:v>DB Compute / Infra</c:v>
                </c:pt>
                <c:pt idx="2">
                  <c:v>Oracle WLS Support</c:v>
                </c:pt>
                <c:pt idx="3">
                  <c:v>Forms / App Compute</c:v>
                </c:pt>
                <c:pt idx="4">
                  <c:v>DB + Forms Migration</c:v>
                </c:pt>
                <c:pt idx="5">
                  <c:v>Labor (DBA + WLS Admin)</c:v>
                </c:pt>
                <c:pt idx="6">
                  <c:v>Storage + Backup + Network</c:v>
                </c:pt>
              </c:strCache>
            </c:strRef>
          </c:cat>
          <c:val>
            <c:numRef>
              <c:f>Charts!$B$28:$B$34</c:f>
              <c:numCache>
                <c:formatCode>\$#,##0</c:formatCode>
                <c:ptCount val="7"/>
                <c:pt idx="0">
                  <c:v>700000</c:v>
                </c:pt>
                <c:pt idx="1">
                  <c:v>300000</c:v>
                </c:pt>
                <c:pt idx="2">
                  <c:v>176000</c:v>
                </c:pt>
                <c:pt idx="3">
                  <c:v>60000</c:v>
                </c:pt>
                <c:pt idx="4">
                  <c:v>0</c:v>
                </c:pt>
                <c:pt idx="5">
                  <c:v>400000</c:v>
                </c:pt>
                <c:pt idx="6">
                  <c:v>262000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0-4215-87A9-62E3F3389BE3}"/>
            </c:ext>
          </c:extLst>
        </c:ser>
        <c:ser>
          <c:idx val="1"/>
          <c:order val="1"/>
          <c:tx>
            <c:strRef>
              <c:f>Charts!$C$27</c:f>
              <c:strCache>
                <c:ptCount val="1"/>
                <c:pt idx="0">
                  <c:v>ODB Exascale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Charts!$A$28:$A$34</c:f>
              <c:strCache>
                <c:ptCount val="7"/>
                <c:pt idx="0">
                  <c:v>Oracle DB License Support</c:v>
                </c:pt>
                <c:pt idx="1">
                  <c:v>DB Compute / Infra</c:v>
                </c:pt>
                <c:pt idx="2">
                  <c:v>Oracle WLS Support</c:v>
                </c:pt>
                <c:pt idx="3">
                  <c:v>Forms / App Compute</c:v>
                </c:pt>
                <c:pt idx="4">
                  <c:v>DB + Forms Migration</c:v>
                </c:pt>
                <c:pt idx="5">
                  <c:v>Labor (DBA + WLS Admin)</c:v>
                </c:pt>
                <c:pt idx="6">
                  <c:v>Storage + Backup + Network</c:v>
                </c:pt>
              </c:strCache>
            </c:strRef>
          </c:cat>
          <c:val>
            <c:numRef>
              <c:f>Charts!$C$28:$C$34</c:f>
              <c:numCache>
                <c:formatCode>\$#,##0</c:formatCode>
                <c:ptCount val="7"/>
                <c:pt idx="0">
                  <c:v>700000</c:v>
                </c:pt>
                <c:pt idx="1">
                  <c:v>173908</c:v>
                </c:pt>
                <c:pt idx="2">
                  <c:v>176000</c:v>
                </c:pt>
                <c:pt idx="3">
                  <c:v>6312</c:v>
                </c:pt>
                <c:pt idx="4">
                  <c:v>180000</c:v>
                </c:pt>
                <c:pt idx="5">
                  <c:v>300000</c:v>
                </c:pt>
                <c:pt idx="6">
                  <c:v>25064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0-4215-87A9-62E3F3389BE3}"/>
            </c:ext>
          </c:extLst>
        </c:ser>
        <c:ser>
          <c:idx val="2"/>
          <c:order val="2"/>
          <c:tx>
            <c:strRef>
              <c:f>Charts!$D$27</c:f>
              <c:strCache>
                <c:ptCount val="1"/>
                <c:pt idx="0">
                  <c:v>Oracle AzVM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Charts!$A$28:$A$34</c:f>
              <c:strCache>
                <c:ptCount val="7"/>
                <c:pt idx="0">
                  <c:v>Oracle DB License Support</c:v>
                </c:pt>
                <c:pt idx="1">
                  <c:v>DB Compute / Infra</c:v>
                </c:pt>
                <c:pt idx="2">
                  <c:v>Oracle WLS Support</c:v>
                </c:pt>
                <c:pt idx="3">
                  <c:v>Forms / App Compute</c:v>
                </c:pt>
                <c:pt idx="4">
                  <c:v>DB + Forms Migration</c:v>
                </c:pt>
                <c:pt idx="5">
                  <c:v>Labor (DBA + WLS Admin)</c:v>
                </c:pt>
                <c:pt idx="6">
                  <c:v>Storage + Backup + Network</c:v>
                </c:pt>
              </c:strCache>
            </c:strRef>
          </c:cat>
          <c:val>
            <c:numRef>
              <c:f>Charts!$D$28:$D$34</c:f>
              <c:numCache>
                <c:formatCode>\$#,##0</c:formatCode>
                <c:ptCount val="7"/>
                <c:pt idx="0">
                  <c:v>700000</c:v>
                </c:pt>
                <c:pt idx="1">
                  <c:v>230184</c:v>
                </c:pt>
                <c:pt idx="2">
                  <c:v>176000</c:v>
                </c:pt>
                <c:pt idx="3">
                  <c:v>6312</c:v>
                </c:pt>
                <c:pt idx="4">
                  <c:v>240000</c:v>
                </c:pt>
                <c:pt idx="5">
                  <c:v>300000</c:v>
                </c:pt>
                <c:pt idx="6">
                  <c:v>54904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20-4215-87A9-62E3F3389BE3}"/>
            </c:ext>
          </c:extLst>
        </c:ser>
        <c:ser>
          <c:idx val="3"/>
          <c:order val="3"/>
          <c:tx>
            <c:strRef>
              <c:f>Charts!$E$27</c:f>
              <c:strCache>
                <c:ptCount val="1"/>
                <c:pt idx="0">
                  <c:v>Azure PG+App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Charts!$A$28:$A$34</c:f>
              <c:strCache>
                <c:ptCount val="7"/>
                <c:pt idx="0">
                  <c:v>Oracle DB License Support</c:v>
                </c:pt>
                <c:pt idx="1">
                  <c:v>DB Compute / Infra</c:v>
                </c:pt>
                <c:pt idx="2">
                  <c:v>Oracle WLS Support</c:v>
                </c:pt>
                <c:pt idx="3">
                  <c:v>Forms / App Compute</c:v>
                </c:pt>
                <c:pt idx="4">
                  <c:v>DB + Forms Migration</c:v>
                </c:pt>
                <c:pt idx="5">
                  <c:v>Labor (DBA + WLS Admin)</c:v>
                </c:pt>
                <c:pt idx="6">
                  <c:v>Storage + Backup + Network</c:v>
                </c:pt>
              </c:strCache>
            </c:strRef>
          </c:cat>
          <c:val>
            <c:numRef>
              <c:f>Charts!$E$28:$E$34</c:f>
              <c:numCache>
                <c:formatCode>\$#,##0</c:formatCode>
                <c:ptCount val="7"/>
                <c:pt idx="0">
                  <c:v>0</c:v>
                </c:pt>
                <c:pt idx="1">
                  <c:v>81600</c:v>
                </c:pt>
                <c:pt idx="2">
                  <c:v>0</c:v>
                </c:pt>
                <c:pt idx="3">
                  <c:v>7368</c:v>
                </c:pt>
                <c:pt idx="4">
                  <c:v>630000</c:v>
                </c:pt>
                <c:pt idx="5">
                  <c:v>200000</c:v>
                </c:pt>
                <c:pt idx="6">
                  <c:v>23800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0-4215-87A9-62E3F3389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835794"/>
        <c:axId val="21919086"/>
      </c:barChart>
      <c:catAx>
        <c:axId val="638357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Option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919086"/>
        <c:crosses val="autoZero"/>
        <c:auto val="1"/>
        <c:lblAlgn val="ctr"/>
        <c:lblOffset val="100"/>
        <c:noMultiLvlLbl val="0"/>
      </c:catAx>
      <c:valAx>
        <c:axId val="219190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8357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Weighted Score — DB + Forms Combined (out of 5.0)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Charts!$H$28</c:f>
              <c:strCache>
                <c:ptCount val="1"/>
                <c:pt idx="0">
                  <c:v>Score (of 5.0)</c:v>
                </c:pt>
              </c:strCache>
            </c:strRef>
          </c:tx>
          <c:spPr>
            <a:solidFill>
              <a:srgbClr val="0078D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Charts!$G$29:$G$33</c:f>
              <c:strCache>
                <c:ptCount val="5"/>
                <c:pt idx="0">
                  <c:v>ODB@Azure Exascale+Forms</c:v>
                </c:pt>
                <c:pt idx="1">
                  <c:v>ODB@Azure Dedicated+Forms</c:v>
                </c:pt>
                <c:pt idx="2">
                  <c:v>Oracle AzVM+Forms</c:v>
                </c:pt>
                <c:pt idx="3">
                  <c:v>Azure PG+Modern App</c:v>
                </c:pt>
                <c:pt idx="4">
                  <c:v>On-Prem (baseline)</c:v>
                </c:pt>
              </c:strCache>
            </c:strRef>
          </c:cat>
          <c:val>
            <c:numRef>
              <c:f>Charts!$H$29:$H$33</c:f>
              <c:numCache>
                <c:formatCode>0.00</c:formatCode>
                <c:ptCount val="5"/>
                <c:pt idx="0">
                  <c:v>4.21</c:v>
                </c:pt>
                <c:pt idx="1">
                  <c:v>3.87</c:v>
                </c:pt>
                <c:pt idx="2">
                  <c:v>3.14</c:v>
                </c:pt>
                <c:pt idx="3">
                  <c:v>3.98</c:v>
                </c:pt>
                <c:pt idx="4">
                  <c:v>2.5299999999999998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2-4702-8B07-938F75B38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91223"/>
        <c:axId val="89368980"/>
      </c:barChart>
      <c:catAx>
        <c:axId val="8849122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368980"/>
        <c:crosses val="autoZero"/>
        <c:auto val="1"/>
        <c:lblAlgn val="ctr"/>
        <c:lblOffset val="100"/>
        <c:noMultiLvlLbl val="0"/>
      </c:catAx>
      <c:valAx>
        <c:axId val="893689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Option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912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80640</xdr:rowOff>
    </xdr:from>
    <xdr:to>
      <xdr:col>6</xdr:col>
      <xdr:colOff>86400</xdr:colOff>
      <xdr:row>32</xdr:row>
      <xdr:rowOff>167400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129540</xdr:colOff>
      <xdr:row>6</xdr:row>
      <xdr:rowOff>88260</xdr:rowOff>
    </xdr:from>
    <xdr:to>
      <xdr:col>12</xdr:col>
      <xdr:colOff>202980</xdr:colOff>
      <xdr:row>29</xdr:row>
      <xdr:rowOff>26340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80640</xdr:rowOff>
    </xdr:from>
    <xdr:to>
      <xdr:col>5</xdr:col>
      <xdr:colOff>151200</xdr:colOff>
      <xdr:row>55</xdr:row>
      <xdr:rowOff>180660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23</xdr:row>
      <xdr:rowOff>80640</xdr:rowOff>
    </xdr:from>
    <xdr:to>
      <xdr:col>19</xdr:col>
      <xdr:colOff>147600</xdr:colOff>
      <xdr:row>42</xdr:row>
      <xdr:rowOff>60840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22" customWidth="1"/>
    <col min="2" max="2" width="30" customWidth="1"/>
    <col min="3" max="4" width="26" customWidth="1"/>
    <col min="5" max="6" width="24" customWidth="1"/>
    <col min="7" max="7" width="15.33203125" customWidth="1"/>
  </cols>
  <sheetData>
    <row r="1" spans="1:7" ht="21.75" customHeight="1" x14ac:dyDescent="0.3">
      <c r="A1" s="108" t="s">
        <v>15</v>
      </c>
      <c r="B1" s="108"/>
      <c r="C1" s="108"/>
      <c r="D1" s="108"/>
      <c r="E1" s="108"/>
      <c r="F1" s="108"/>
      <c r="G1" s="108"/>
    </row>
    <row r="2" spans="1:7" ht="7.5" customHeight="1" x14ac:dyDescent="0.3"/>
    <row r="3" spans="1:7" ht="18" customHeight="1" x14ac:dyDescent="0.3">
      <c r="A3" s="109" t="s">
        <v>16</v>
      </c>
      <c r="B3" s="109"/>
      <c r="C3" s="109"/>
      <c r="D3" s="109"/>
      <c r="E3" s="109"/>
      <c r="F3" s="109"/>
      <c r="G3" s="109"/>
    </row>
    <row r="4" spans="1:7" x14ac:dyDescent="0.3">
      <c r="A4" s="11" t="s">
        <v>17</v>
      </c>
      <c r="B4" s="11" t="s">
        <v>18</v>
      </c>
      <c r="C4" s="11" t="s">
        <v>19</v>
      </c>
      <c r="D4" s="11" t="s">
        <v>20</v>
      </c>
      <c r="E4" s="11" t="s">
        <v>21</v>
      </c>
    </row>
    <row r="5" spans="1:7" ht="21.75" customHeight="1" x14ac:dyDescent="0.3">
      <c r="A5" s="12" t="s">
        <v>22</v>
      </c>
      <c r="B5" s="13" t="s">
        <v>23</v>
      </c>
      <c r="C5" s="14" t="s">
        <v>24</v>
      </c>
      <c r="D5" s="13" t="s">
        <v>25</v>
      </c>
      <c r="E5" s="13" t="s">
        <v>26</v>
      </c>
    </row>
    <row r="6" spans="1:7" ht="21.75" customHeight="1" x14ac:dyDescent="0.3">
      <c r="A6" s="15" t="s">
        <v>27</v>
      </c>
      <c r="B6" s="16" t="s">
        <v>28</v>
      </c>
      <c r="C6" s="17" t="s">
        <v>29</v>
      </c>
      <c r="D6" s="18" t="s">
        <v>30</v>
      </c>
      <c r="E6" s="16" t="s">
        <v>31</v>
      </c>
    </row>
    <row r="7" spans="1:7" ht="21.75" customHeight="1" x14ac:dyDescent="0.3">
      <c r="A7" s="12" t="s">
        <v>32</v>
      </c>
      <c r="B7" s="13" t="s">
        <v>33</v>
      </c>
      <c r="C7" s="14" t="s">
        <v>34</v>
      </c>
      <c r="D7" s="19" t="s">
        <v>35</v>
      </c>
      <c r="E7" s="13" t="s">
        <v>36</v>
      </c>
    </row>
    <row r="8" spans="1:7" ht="21.75" customHeight="1" x14ac:dyDescent="0.3">
      <c r="A8" s="15" t="s">
        <v>37</v>
      </c>
      <c r="B8" s="16" t="s">
        <v>38</v>
      </c>
      <c r="C8" s="17" t="s">
        <v>34</v>
      </c>
      <c r="D8" s="16" t="s">
        <v>39</v>
      </c>
      <c r="E8" s="16" t="s">
        <v>40</v>
      </c>
    </row>
    <row r="9" spans="1:7" ht="21.75" customHeight="1" x14ac:dyDescent="0.3">
      <c r="A9" s="12" t="s">
        <v>41</v>
      </c>
      <c r="B9" s="13" t="s">
        <v>42</v>
      </c>
      <c r="C9" s="14" t="s">
        <v>43</v>
      </c>
      <c r="D9" s="13" t="s">
        <v>44</v>
      </c>
      <c r="E9" s="13" t="s">
        <v>45</v>
      </c>
    </row>
    <row r="10" spans="1:7" ht="21.75" customHeight="1" x14ac:dyDescent="0.3">
      <c r="A10" s="15" t="s">
        <v>46</v>
      </c>
      <c r="B10" s="16" t="s">
        <v>47</v>
      </c>
      <c r="C10" s="17" t="s">
        <v>34</v>
      </c>
      <c r="D10" s="16" t="s">
        <v>48</v>
      </c>
      <c r="E10" s="20" t="s">
        <v>49</v>
      </c>
    </row>
    <row r="11" spans="1:7" ht="21.75" customHeight="1" x14ac:dyDescent="0.3">
      <c r="A11" s="12" t="s">
        <v>50</v>
      </c>
      <c r="B11" s="13" t="s">
        <v>51</v>
      </c>
      <c r="C11" s="14" t="s">
        <v>52</v>
      </c>
      <c r="D11" s="19" t="s">
        <v>53</v>
      </c>
      <c r="E11" s="13" t="s">
        <v>54</v>
      </c>
    </row>
    <row r="12" spans="1:7" ht="21.75" customHeight="1" x14ac:dyDescent="0.3">
      <c r="A12" s="15" t="s">
        <v>55</v>
      </c>
      <c r="B12" s="16" t="s">
        <v>56</v>
      </c>
      <c r="C12" s="17" t="s">
        <v>57</v>
      </c>
      <c r="D12" s="16" t="s">
        <v>58</v>
      </c>
      <c r="E12" s="16" t="s">
        <v>59</v>
      </c>
    </row>
    <row r="13" spans="1:7" ht="21.75" customHeight="1" x14ac:dyDescent="0.3">
      <c r="A13" s="12" t="s">
        <v>60</v>
      </c>
      <c r="B13" s="21" t="s">
        <v>61</v>
      </c>
      <c r="C13" s="14" t="s">
        <v>62</v>
      </c>
      <c r="D13" s="13" t="s">
        <v>63</v>
      </c>
      <c r="E13" s="13" t="s">
        <v>64</v>
      </c>
    </row>
    <row r="14" spans="1:7" ht="21.75" customHeight="1" x14ac:dyDescent="0.3">
      <c r="A14" s="15" t="s">
        <v>65</v>
      </c>
      <c r="B14" s="16" t="s">
        <v>66</v>
      </c>
      <c r="C14" s="17" t="s">
        <v>67</v>
      </c>
      <c r="D14" s="18" t="s">
        <v>68</v>
      </c>
      <c r="E14" s="18" t="s">
        <v>69</v>
      </c>
    </row>
    <row r="15" spans="1:7" ht="21.75" customHeight="1" x14ac:dyDescent="0.3">
      <c r="A15" s="12" t="s">
        <v>70</v>
      </c>
      <c r="B15" s="13" t="s">
        <v>71</v>
      </c>
      <c r="C15" s="14" t="s">
        <v>72</v>
      </c>
      <c r="D15" s="19" t="s">
        <v>73</v>
      </c>
      <c r="E15" s="13" t="s">
        <v>74</v>
      </c>
    </row>
    <row r="16" spans="1:7" ht="21.75" customHeight="1" x14ac:dyDescent="0.3">
      <c r="A16" s="15" t="s">
        <v>75</v>
      </c>
      <c r="B16" s="16" t="s">
        <v>76</v>
      </c>
      <c r="C16" s="17" t="s">
        <v>77</v>
      </c>
      <c r="D16" s="16" t="s">
        <v>78</v>
      </c>
      <c r="E16" s="16" t="s">
        <v>79</v>
      </c>
    </row>
    <row r="17" spans="1:7" ht="7.5" customHeight="1" x14ac:dyDescent="0.3"/>
    <row r="18" spans="1:7" ht="18" customHeight="1" x14ac:dyDescent="0.3">
      <c r="A18" s="109" t="s">
        <v>80</v>
      </c>
      <c r="B18" s="109"/>
      <c r="C18" s="109"/>
      <c r="D18" s="109"/>
      <c r="E18" s="109"/>
      <c r="F18" s="109"/>
      <c r="G18" s="109"/>
    </row>
    <row r="19" spans="1:7" ht="43.5" customHeight="1" x14ac:dyDescent="0.3">
      <c r="A19" s="110" t="s">
        <v>81</v>
      </c>
      <c r="B19" s="110"/>
      <c r="C19" s="110"/>
      <c r="D19" s="110"/>
      <c r="E19" s="110"/>
      <c r="F19" s="110"/>
      <c r="G19" s="110"/>
    </row>
    <row r="20" spans="1:7" x14ac:dyDescent="0.3">
      <c r="A20" s="11" t="s">
        <v>82</v>
      </c>
    </row>
    <row r="21" spans="1:7" x14ac:dyDescent="0.3">
      <c r="B21" s="11" t="s">
        <v>83</v>
      </c>
    </row>
    <row r="22" spans="1:7" x14ac:dyDescent="0.3">
      <c r="C22" s="11" t="s">
        <v>84</v>
      </c>
    </row>
    <row r="23" spans="1:7" x14ac:dyDescent="0.3">
      <c r="D23" s="11" t="s">
        <v>85</v>
      </c>
    </row>
    <row r="24" spans="1:7" x14ac:dyDescent="0.3">
      <c r="E24" s="11" t="s">
        <v>86</v>
      </c>
    </row>
    <row r="25" spans="1:7" x14ac:dyDescent="0.3">
      <c r="F25" s="11" t="s">
        <v>87</v>
      </c>
    </row>
    <row r="26" spans="1:7" x14ac:dyDescent="0.3">
      <c r="G26" s="11" t="s">
        <v>88</v>
      </c>
    </row>
    <row r="27" spans="1:7" ht="54.75" customHeight="1" x14ac:dyDescent="0.3">
      <c r="A27" s="22" t="s">
        <v>89</v>
      </c>
      <c r="B27" s="23" t="s">
        <v>90</v>
      </c>
      <c r="C27" s="23" t="s">
        <v>91</v>
      </c>
      <c r="D27" s="23" t="s">
        <v>92</v>
      </c>
      <c r="E27" s="24" t="s">
        <v>93</v>
      </c>
      <c r="F27" s="24" t="s">
        <v>94</v>
      </c>
      <c r="G27" s="25" t="s">
        <v>7</v>
      </c>
    </row>
    <row r="28" spans="1:7" ht="54.75" customHeight="1" x14ac:dyDescent="0.3">
      <c r="A28" s="26" t="s">
        <v>95</v>
      </c>
      <c r="B28" s="27" t="s">
        <v>96</v>
      </c>
      <c r="C28" s="27" t="s">
        <v>97</v>
      </c>
      <c r="D28" s="27" t="s">
        <v>98</v>
      </c>
      <c r="E28" s="28" t="s">
        <v>99</v>
      </c>
      <c r="F28" s="28" t="s">
        <v>100</v>
      </c>
      <c r="G28" s="29" t="s">
        <v>8</v>
      </c>
    </row>
    <row r="29" spans="1:7" ht="54.75" customHeight="1" x14ac:dyDescent="0.3">
      <c r="A29" s="30" t="s">
        <v>101</v>
      </c>
      <c r="B29" s="31" t="s">
        <v>102</v>
      </c>
      <c r="C29" s="31" t="s">
        <v>103</v>
      </c>
      <c r="D29" s="31" t="s">
        <v>104</v>
      </c>
      <c r="E29" s="32" t="s">
        <v>105</v>
      </c>
      <c r="F29" s="32" t="s">
        <v>106</v>
      </c>
      <c r="G29" s="33" t="s">
        <v>8</v>
      </c>
    </row>
    <row r="30" spans="1:7" ht="54.75" customHeight="1" x14ac:dyDescent="0.3">
      <c r="A30" s="34" t="s">
        <v>107</v>
      </c>
      <c r="B30" s="35" t="s">
        <v>108</v>
      </c>
      <c r="C30" s="35" t="s">
        <v>109</v>
      </c>
      <c r="D30" s="35" t="s">
        <v>110</v>
      </c>
      <c r="E30" s="36" t="s">
        <v>14</v>
      </c>
      <c r="F30" s="36" t="s">
        <v>111</v>
      </c>
      <c r="G30" s="37" t="s">
        <v>9</v>
      </c>
    </row>
    <row r="31" spans="1:7" ht="7.5" customHeight="1" x14ac:dyDescent="0.3"/>
    <row r="32" spans="1:7" ht="18" customHeight="1" x14ac:dyDescent="0.3">
      <c r="A32" s="111" t="s">
        <v>112</v>
      </c>
      <c r="B32" s="111"/>
      <c r="C32" s="111"/>
      <c r="D32" s="111"/>
      <c r="E32" s="111"/>
      <c r="F32" s="111"/>
      <c r="G32" s="111"/>
    </row>
    <row r="33" spans="1:6" x14ac:dyDescent="0.3">
      <c r="A33" s="11" t="s">
        <v>113</v>
      </c>
    </row>
    <row r="34" spans="1:6" x14ac:dyDescent="0.3">
      <c r="B34" s="11" t="s">
        <v>114</v>
      </c>
    </row>
    <row r="35" spans="1:6" x14ac:dyDescent="0.3">
      <c r="C35" s="11" t="s">
        <v>115</v>
      </c>
    </row>
    <row r="36" spans="1:6" x14ac:dyDescent="0.3">
      <c r="D36" s="11" t="s">
        <v>116</v>
      </c>
    </row>
    <row r="37" spans="1:6" x14ac:dyDescent="0.3">
      <c r="E37" s="11" t="s">
        <v>117</v>
      </c>
    </row>
    <row r="38" spans="1:6" x14ac:dyDescent="0.3">
      <c r="F38" s="11" t="s">
        <v>118</v>
      </c>
    </row>
    <row r="39" spans="1:6" ht="21.75" customHeight="1" x14ac:dyDescent="0.3">
      <c r="A39" s="12" t="s">
        <v>12</v>
      </c>
      <c r="B39" s="14" t="s">
        <v>119</v>
      </c>
      <c r="C39" s="14" t="s">
        <v>120</v>
      </c>
      <c r="D39" s="14" t="s">
        <v>120</v>
      </c>
      <c r="E39" s="14" t="s">
        <v>121</v>
      </c>
      <c r="F39" s="14" t="s">
        <v>122</v>
      </c>
    </row>
    <row r="40" spans="1:6" ht="21.75" customHeight="1" x14ac:dyDescent="0.3">
      <c r="A40" s="15" t="s">
        <v>123</v>
      </c>
      <c r="B40" s="17" t="s">
        <v>124</v>
      </c>
      <c r="C40" s="17" t="s">
        <v>125</v>
      </c>
      <c r="D40" s="17" t="s">
        <v>125</v>
      </c>
      <c r="E40" s="38" t="s">
        <v>126</v>
      </c>
      <c r="F40" s="38" t="s">
        <v>126</v>
      </c>
    </row>
    <row r="41" spans="1:6" ht="21.75" customHeight="1" x14ac:dyDescent="0.3">
      <c r="A41" s="12" t="s">
        <v>127</v>
      </c>
      <c r="B41" s="14" t="s">
        <v>11</v>
      </c>
      <c r="C41" s="14" t="s">
        <v>128</v>
      </c>
      <c r="D41" s="14" t="s">
        <v>128</v>
      </c>
      <c r="E41" s="14" t="s">
        <v>11</v>
      </c>
      <c r="F41" s="14" t="s">
        <v>11</v>
      </c>
    </row>
    <row r="42" spans="1:6" ht="21.75" customHeight="1" x14ac:dyDescent="0.3">
      <c r="A42" s="15" t="s">
        <v>129</v>
      </c>
      <c r="B42" s="17" t="s">
        <v>11</v>
      </c>
      <c r="C42" s="17" t="s">
        <v>130</v>
      </c>
      <c r="D42" s="17" t="s">
        <v>130</v>
      </c>
      <c r="E42" s="17" t="s">
        <v>131</v>
      </c>
      <c r="F42" s="17" t="s">
        <v>132</v>
      </c>
    </row>
    <row r="43" spans="1:6" ht="21.75" customHeight="1" x14ac:dyDescent="0.3">
      <c r="A43" s="12" t="s">
        <v>133</v>
      </c>
      <c r="B43" s="14" t="s">
        <v>134</v>
      </c>
      <c r="C43" s="14" t="s">
        <v>135</v>
      </c>
      <c r="D43" s="14" t="s">
        <v>135</v>
      </c>
      <c r="E43" s="14" t="s">
        <v>136</v>
      </c>
      <c r="F43" s="14" t="s">
        <v>137</v>
      </c>
    </row>
    <row r="44" spans="1:6" ht="21.75" customHeight="1" x14ac:dyDescent="0.3">
      <c r="A44" s="15" t="s">
        <v>138</v>
      </c>
      <c r="B44" s="17" t="s">
        <v>139</v>
      </c>
      <c r="C44" s="17" t="s">
        <v>140</v>
      </c>
      <c r="D44" s="17" t="s">
        <v>139</v>
      </c>
      <c r="E44" s="38" t="s">
        <v>126</v>
      </c>
      <c r="F44" s="38" t="s">
        <v>126</v>
      </c>
    </row>
    <row r="45" spans="1:6" ht="21.75" customHeight="1" x14ac:dyDescent="0.3">
      <c r="A45" s="12" t="s">
        <v>13</v>
      </c>
      <c r="B45" s="14" t="s">
        <v>11</v>
      </c>
      <c r="C45" s="14" t="s">
        <v>141</v>
      </c>
      <c r="D45" s="14" t="s">
        <v>141</v>
      </c>
      <c r="E45" s="14" t="s">
        <v>142</v>
      </c>
      <c r="F45" s="39" t="s">
        <v>10</v>
      </c>
    </row>
    <row r="46" spans="1:6" ht="21.75" customHeight="1" x14ac:dyDescent="0.3">
      <c r="A46" s="15" t="s">
        <v>143</v>
      </c>
      <c r="B46" s="17" t="s">
        <v>144</v>
      </c>
      <c r="C46" s="17" t="s">
        <v>145</v>
      </c>
      <c r="D46" s="38" t="s">
        <v>146</v>
      </c>
      <c r="E46" s="38" t="s">
        <v>6</v>
      </c>
      <c r="F46" s="38" t="s">
        <v>6</v>
      </c>
    </row>
  </sheetData>
  <mergeCells count="5">
    <mergeCell ref="A1:G1"/>
    <mergeCell ref="A3:G3"/>
    <mergeCell ref="A18:G18"/>
    <mergeCell ref="A19:G19"/>
    <mergeCell ref="A32:G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showGridLines="0" topLeftCell="A9" zoomScaleNormal="100" workbookViewId="0">
      <selection sqref="A1:F1"/>
    </sheetView>
  </sheetViews>
  <sheetFormatPr defaultColWidth="8.6640625" defaultRowHeight="14.4" x14ac:dyDescent="0.3"/>
  <cols>
    <col min="1" max="1" width="30" customWidth="1"/>
    <col min="2" max="2" width="14" customWidth="1"/>
    <col min="3" max="4" width="22" customWidth="1"/>
    <col min="5" max="5" width="47" customWidth="1"/>
    <col min="6" max="6" width="24" customWidth="1"/>
  </cols>
  <sheetData>
    <row r="1" spans="1:6" ht="21.75" customHeight="1" x14ac:dyDescent="0.3">
      <c r="A1" s="113" t="s">
        <v>147</v>
      </c>
      <c r="B1" s="113"/>
      <c r="C1" s="113"/>
      <c r="D1" s="113"/>
      <c r="E1" s="113"/>
      <c r="F1" s="113"/>
    </row>
    <row r="2" spans="1:6" ht="7.5" customHeight="1" x14ac:dyDescent="0.3"/>
    <row r="3" spans="1:6" ht="18" customHeight="1" x14ac:dyDescent="0.3">
      <c r="A3" s="111" t="s">
        <v>148</v>
      </c>
      <c r="B3" s="111"/>
      <c r="C3" s="111"/>
      <c r="D3" s="111"/>
      <c r="E3" s="111"/>
      <c r="F3" s="111"/>
    </row>
    <row r="4" spans="1:6" x14ac:dyDescent="0.3">
      <c r="A4" s="11" t="s">
        <v>3</v>
      </c>
    </row>
    <row r="5" spans="1:6" x14ac:dyDescent="0.3">
      <c r="B5" s="11" t="s">
        <v>149</v>
      </c>
    </row>
    <row r="6" spans="1:6" x14ac:dyDescent="0.3">
      <c r="C6" s="11" t="s">
        <v>150</v>
      </c>
    </row>
    <row r="7" spans="1:6" x14ac:dyDescent="0.3">
      <c r="D7" s="11" t="s">
        <v>151</v>
      </c>
    </row>
    <row r="8" spans="1:6" x14ac:dyDescent="0.3">
      <c r="E8" s="11" t="s">
        <v>152</v>
      </c>
    </row>
    <row r="9" spans="1:6" ht="21.75" customHeight="1" x14ac:dyDescent="0.3">
      <c r="A9" s="7" t="s">
        <v>153</v>
      </c>
      <c r="B9" s="40" t="s">
        <v>154</v>
      </c>
      <c r="C9" s="40" t="s">
        <v>154</v>
      </c>
      <c r="D9" s="40" t="s">
        <v>155</v>
      </c>
      <c r="E9" s="13" t="s">
        <v>156</v>
      </c>
    </row>
    <row r="10" spans="1:6" ht="21.75" customHeight="1" x14ac:dyDescent="0.3">
      <c r="A10" s="8" t="s">
        <v>157</v>
      </c>
      <c r="B10" s="9" t="s">
        <v>158</v>
      </c>
      <c r="C10" s="9" t="s">
        <v>158</v>
      </c>
      <c r="D10" s="9" t="s">
        <v>159</v>
      </c>
      <c r="E10" s="16" t="s">
        <v>160</v>
      </c>
    </row>
    <row r="11" spans="1:6" ht="21.75" customHeight="1" x14ac:dyDescent="0.3">
      <c r="A11" s="7" t="s">
        <v>161</v>
      </c>
      <c r="B11" s="40" t="s">
        <v>162</v>
      </c>
      <c r="C11" s="40" t="s">
        <v>163</v>
      </c>
      <c r="D11" s="40" t="s">
        <v>164</v>
      </c>
      <c r="E11" s="13" t="s">
        <v>165</v>
      </c>
    </row>
    <row r="12" spans="1:6" ht="21.75" customHeight="1" x14ac:dyDescent="0.3">
      <c r="A12" s="8" t="s">
        <v>166</v>
      </c>
      <c r="B12" s="9" t="s">
        <v>167</v>
      </c>
      <c r="C12" s="9" t="s">
        <v>168</v>
      </c>
      <c r="D12" s="9" t="s">
        <v>169</v>
      </c>
      <c r="E12" s="16" t="s">
        <v>170</v>
      </c>
    </row>
    <row r="13" spans="1:6" ht="21.75" customHeight="1" x14ac:dyDescent="0.3">
      <c r="A13" s="7" t="s">
        <v>171</v>
      </c>
      <c r="B13" s="40" t="s">
        <v>172</v>
      </c>
      <c r="C13" s="40" t="s">
        <v>173</v>
      </c>
      <c r="D13" s="40" t="s">
        <v>174</v>
      </c>
      <c r="E13" s="13" t="s">
        <v>175</v>
      </c>
    </row>
    <row r="14" spans="1:6" ht="21.75" customHeight="1" x14ac:dyDescent="0.3">
      <c r="A14" s="8" t="s">
        <v>176</v>
      </c>
      <c r="B14" s="9" t="s">
        <v>177</v>
      </c>
      <c r="C14" s="9" t="s">
        <v>178</v>
      </c>
      <c r="D14" s="9" t="s">
        <v>179</v>
      </c>
      <c r="E14" s="16" t="s">
        <v>180</v>
      </c>
    </row>
    <row r="15" spans="1:6" ht="21.75" customHeight="1" x14ac:dyDescent="0.3">
      <c r="A15" s="7" t="s">
        <v>181</v>
      </c>
      <c r="B15" s="40" t="s">
        <v>182</v>
      </c>
      <c r="C15" s="40" t="s">
        <v>183</v>
      </c>
      <c r="D15" s="40" t="s">
        <v>184</v>
      </c>
      <c r="E15" s="13" t="s">
        <v>185</v>
      </c>
    </row>
    <row r="16" spans="1:6" ht="21.75" customHeight="1" x14ac:dyDescent="0.3">
      <c r="A16" s="8" t="s">
        <v>186</v>
      </c>
      <c r="B16" s="9" t="s">
        <v>187</v>
      </c>
      <c r="C16" s="9" t="s">
        <v>188</v>
      </c>
      <c r="D16" s="9" t="s">
        <v>189</v>
      </c>
      <c r="E16" s="16" t="s">
        <v>190</v>
      </c>
    </row>
    <row r="17" spans="1:6" ht="21.75" customHeight="1" x14ac:dyDescent="0.3">
      <c r="A17" s="7" t="s">
        <v>191</v>
      </c>
      <c r="B17" s="40" t="s">
        <v>192</v>
      </c>
      <c r="C17" s="40" t="s">
        <v>193</v>
      </c>
      <c r="D17" s="40" t="s">
        <v>194</v>
      </c>
      <c r="E17" s="13" t="s">
        <v>195</v>
      </c>
    </row>
    <row r="18" spans="1:6" ht="21.75" customHeight="1" x14ac:dyDescent="0.3">
      <c r="A18" s="8" t="s">
        <v>196</v>
      </c>
      <c r="B18" s="9" t="s">
        <v>197</v>
      </c>
      <c r="C18" s="9" t="s">
        <v>198</v>
      </c>
      <c r="D18" s="9" t="s">
        <v>199</v>
      </c>
      <c r="E18" s="16" t="s">
        <v>200</v>
      </c>
    </row>
    <row r="19" spans="1:6" ht="21.75" customHeight="1" x14ac:dyDescent="0.3">
      <c r="A19" s="7" t="s">
        <v>201</v>
      </c>
      <c r="B19" s="40" t="s">
        <v>202</v>
      </c>
      <c r="C19" s="40" t="s">
        <v>203</v>
      </c>
      <c r="D19" s="40" t="s">
        <v>204</v>
      </c>
      <c r="E19" s="13" t="s">
        <v>205</v>
      </c>
    </row>
    <row r="20" spans="1:6" ht="21.75" customHeight="1" x14ac:dyDescent="0.3">
      <c r="A20" s="8" t="s">
        <v>206</v>
      </c>
      <c r="B20" s="9" t="s">
        <v>207</v>
      </c>
      <c r="C20" s="9" t="s">
        <v>207</v>
      </c>
      <c r="D20" s="9" t="s">
        <v>208</v>
      </c>
      <c r="E20" s="16" t="s">
        <v>209</v>
      </c>
    </row>
    <row r="21" spans="1:6" ht="21.75" customHeight="1" x14ac:dyDescent="0.3">
      <c r="A21" s="7" t="s">
        <v>210</v>
      </c>
      <c r="B21" s="40" t="s">
        <v>211</v>
      </c>
      <c r="C21" s="40" t="s">
        <v>211</v>
      </c>
      <c r="D21" s="40" t="s">
        <v>212</v>
      </c>
      <c r="E21" s="13" t="s">
        <v>213</v>
      </c>
    </row>
    <row r="22" spans="1:6" ht="21.75" customHeight="1" x14ac:dyDescent="0.3">
      <c r="A22" s="8" t="s">
        <v>214</v>
      </c>
      <c r="B22" s="9" t="s">
        <v>215</v>
      </c>
      <c r="C22" s="9" t="s">
        <v>215</v>
      </c>
      <c r="D22" s="9" t="s">
        <v>216</v>
      </c>
      <c r="E22" s="16" t="s">
        <v>217</v>
      </c>
    </row>
    <row r="23" spans="1:6" ht="7.5" customHeight="1" x14ac:dyDescent="0.3"/>
    <row r="24" spans="1:6" ht="18" customHeight="1" x14ac:dyDescent="0.3">
      <c r="A24" s="111" t="s">
        <v>218</v>
      </c>
      <c r="B24" s="111"/>
      <c r="C24" s="111"/>
      <c r="D24" s="111"/>
      <c r="E24" s="111"/>
      <c r="F24" s="111"/>
    </row>
    <row r="25" spans="1:6" x14ac:dyDescent="0.3">
      <c r="A25" s="11" t="s">
        <v>219</v>
      </c>
    </row>
    <row r="26" spans="1:6" x14ac:dyDescent="0.3">
      <c r="B26" s="11" t="s">
        <v>220</v>
      </c>
    </row>
    <row r="27" spans="1:6" x14ac:dyDescent="0.3">
      <c r="C27" s="11" t="s">
        <v>221</v>
      </c>
    </row>
    <row r="28" spans="1:6" x14ac:dyDescent="0.3">
      <c r="D28" s="11" t="s">
        <v>222</v>
      </c>
    </row>
    <row r="29" spans="1:6" x14ac:dyDescent="0.3">
      <c r="E29" s="11" t="s">
        <v>223</v>
      </c>
    </row>
    <row r="30" spans="1:6" x14ac:dyDescent="0.3">
      <c r="F30" s="11" t="s">
        <v>224</v>
      </c>
    </row>
    <row r="31" spans="1:6" ht="21.75" customHeight="1" x14ac:dyDescent="0.3">
      <c r="A31" s="41" t="s">
        <v>225</v>
      </c>
      <c r="B31" s="40" t="s">
        <v>226</v>
      </c>
      <c r="C31" s="40" t="s">
        <v>227</v>
      </c>
      <c r="D31" s="40" t="s">
        <v>227</v>
      </c>
      <c r="E31" s="40" t="s">
        <v>227</v>
      </c>
      <c r="F31" s="40" t="s">
        <v>227</v>
      </c>
    </row>
    <row r="32" spans="1:6" ht="21.75" customHeight="1" x14ac:dyDescent="0.3">
      <c r="A32" s="42" t="s">
        <v>228</v>
      </c>
      <c r="B32" s="9" t="s">
        <v>229</v>
      </c>
      <c r="C32" s="43" t="s">
        <v>230</v>
      </c>
      <c r="D32" s="43" t="s">
        <v>230</v>
      </c>
      <c r="E32" s="9" t="s">
        <v>231</v>
      </c>
      <c r="F32" s="9" t="s">
        <v>231</v>
      </c>
    </row>
    <row r="33" spans="1:6" ht="21.75" customHeight="1" x14ac:dyDescent="0.3">
      <c r="A33" s="41" t="s">
        <v>232</v>
      </c>
      <c r="B33" s="40" t="s">
        <v>233</v>
      </c>
      <c r="C33" s="44" t="s">
        <v>234</v>
      </c>
      <c r="D33" s="44" t="s">
        <v>234</v>
      </c>
      <c r="E33" s="44" t="s">
        <v>234</v>
      </c>
      <c r="F33" s="44" t="s">
        <v>235</v>
      </c>
    </row>
    <row r="34" spans="1:6" ht="21.75" customHeight="1" x14ac:dyDescent="0.3">
      <c r="A34" s="42" t="s">
        <v>236</v>
      </c>
      <c r="B34" s="9" t="s">
        <v>237</v>
      </c>
      <c r="C34" s="10" t="s">
        <v>238</v>
      </c>
      <c r="D34" s="10" t="s">
        <v>238</v>
      </c>
      <c r="E34" s="43" t="s">
        <v>239</v>
      </c>
      <c r="F34" s="43" t="s">
        <v>239</v>
      </c>
    </row>
    <row r="35" spans="1:6" ht="21.75" customHeight="1" x14ac:dyDescent="0.3">
      <c r="A35" s="41" t="s">
        <v>240</v>
      </c>
      <c r="B35" s="40" t="s">
        <v>241</v>
      </c>
      <c r="C35" s="45" t="s">
        <v>242</v>
      </c>
      <c r="D35" s="45" t="s">
        <v>242</v>
      </c>
      <c r="E35" s="44" t="s">
        <v>243</v>
      </c>
      <c r="F35" s="44" t="s">
        <v>243</v>
      </c>
    </row>
    <row r="36" spans="1:6" ht="21.75" customHeight="1" x14ac:dyDescent="0.3">
      <c r="A36" s="42" t="s">
        <v>244</v>
      </c>
      <c r="B36" s="9" t="s">
        <v>245</v>
      </c>
      <c r="C36" s="10" t="s">
        <v>238</v>
      </c>
      <c r="D36" s="10" t="s">
        <v>238</v>
      </c>
      <c r="E36" s="43" t="s">
        <v>239</v>
      </c>
      <c r="F36" s="43" t="s">
        <v>239</v>
      </c>
    </row>
    <row r="37" spans="1:6" ht="21.75" customHeight="1" x14ac:dyDescent="0.3">
      <c r="A37" s="41" t="s">
        <v>246</v>
      </c>
      <c r="B37" s="40" t="s">
        <v>247</v>
      </c>
      <c r="C37" s="46" t="s">
        <v>248</v>
      </c>
      <c r="D37" s="45" t="s">
        <v>249</v>
      </c>
      <c r="E37" s="40" t="s">
        <v>250</v>
      </c>
      <c r="F37" s="40" t="s">
        <v>251</v>
      </c>
    </row>
    <row r="38" spans="1:6" ht="21.75" customHeight="1" x14ac:dyDescent="0.3">
      <c r="A38" s="42" t="s">
        <v>252</v>
      </c>
      <c r="B38" s="9" t="s">
        <v>253</v>
      </c>
      <c r="C38" s="9" t="s">
        <v>254</v>
      </c>
      <c r="D38" s="9" t="s">
        <v>254</v>
      </c>
      <c r="E38" s="9" t="s">
        <v>255</v>
      </c>
      <c r="F38" s="9" t="s">
        <v>256</v>
      </c>
    </row>
    <row r="39" spans="1:6" ht="21.75" customHeight="1" x14ac:dyDescent="0.3">
      <c r="A39" s="41" t="s">
        <v>257</v>
      </c>
      <c r="B39" s="40" t="s">
        <v>258</v>
      </c>
      <c r="C39" s="45" t="s">
        <v>259</v>
      </c>
      <c r="D39" s="45" t="s">
        <v>259</v>
      </c>
      <c r="E39" s="40" t="s">
        <v>260</v>
      </c>
      <c r="F39" s="40" t="s">
        <v>260</v>
      </c>
    </row>
  </sheetData>
  <mergeCells count="3">
    <mergeCell ref="A1:F1"/>
    <mergeCell ref="A3:F3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4"/>
  <sheetViews>
    <sheetView showGridLines="0" topLeftCell="A23" zoomScaleNormal="100" workbookViewId="0">
      <selection activeCell="D50" sqref="D50"/>
    </sheetView>
  </sheetViews>
  <sheetFormatPr defaultColWidth="8.6640625" defaultRowHeight="14.4" x14ac:dyDescent="0.3"/>
  <cols>
    <col min="1" max="1" width="34" customWidth="1"/>
    <col min="2" max="2" width="19.33203125" customWidth="1"/>
    <col min="3" max="3" width="20.5546875" customWidth="1"/>
    <col min="4" max="4" width="19.33203125" customWidth="1"/>
    <col min="5" max="5" width="21.33203125" customWidth="1"/>
    <col min="6" max="6" width="18" customWidth="1"/>
    <col min="7" max="7" width="50.44140625" customWidth="1"/>
    <col min="8" max="8" width="22" customWidth="1"/>
  </cols>
  <sheetData>
    <row r="1" spans="1:9" ht="21.75" customHeight="1" x14ac:dyDescent="0.3">
      <c r="A1" s="114" t="s">
        <v>261</v>
      </c>
      <c r="B1" s="114"/>
      <c r="C1" s="114"/>
      <c r="D1" s="114"/>
      <c r="E1" s="114"/>
      <c r="F1" s="114"/>
      <c r="G1" s="114"/>
      <c r="H1" s="114"/>
      <c r="I1" s="114"/>
    </row>
    <row r="2" spans="1:9" ht="7.5" customHeight="1" x14ac:dyDescent="0.3"/>
    <row r="3" spans="1:9" ht="18" customHeight="1" x14ac:dyDescent="0.3">
      <c r="A3" s="111" t="s">
        <v>262</v>
      </c>
      <c r="B3" s="111"/>
      <c r="C3" s="111"/>
      <c r="D3" s="111"/>
      <c r="E3" s="111"/>
      <c r="F3" s="111"/>
      <c r="G3" s="111"/>
      <c r="H3" s="111"/>
      <c r="I3" s="111"/>
    </row>
    <row r="4" spans="1:9" ht="18" customHeight="1" x14ac:dyDescent="0.3">
      <c r="A4" s="7" t="s">
        <v>263</v>
      </c>
      <c r="B4" s="49">
        <v>0.05</v>
      </c>
      <c r="C4" s="50" t="s">
        <v>264</v>
      </c>
    </row>
    <row r="5" spans="1:9" ht="18" customHeight="1" x14ac:dyDescent="0.3">
      <c r="A5" s="8" t="s">
        <v>265</v>
      </c>
      <c r="B5" s="49">
        <v>0.05</v>
      </c>
      <c r="C5" s="50" t="s">
        <v>264</v>
      </c>
    </row>
    <row r="6" spans="1:9" ht="18" customHeight="1" x14ac:dyDescent="0.3">
      <c r="A6" s="7" t="s">
        <v>266</v>
      </c>
      <c r="B6" s="51">
        <v>1.77</v>
      </c>
      <c r="C6" s="50" t="s">
        <v>267</v>
      </c>
    </row>
    <row r="7" spans="1:9" ht="18" customHeight="1" x14ac:dyDescent="0.3">
      <c r="A7" s="8" t="s">
        <v>268</v>
      </c>
      <c r="B7" s="52">
        <v>32</v>
      </c>
      <c r="C7" s="50" t="s">
        <v>269</v>
      </c>
    </row>
    <row r="8" spans="1:9" ht="18" customHeight="1" x14ac:dyDescent="0.3">
      <c r="A8" s="7" t="s">
        <v>270</v>
      </c>
      <c r="B8" s="53">
        <v>357</v>
      </c>
      <c r="C8" s="50" t="s">
        <v>271</v>
      </c>
    </row>
    <row r="9" spans="1:9" ht="18" customHeight="1" x14ac:dyDescent="0.3">
      <c r="A9" s="8" t="s">
        <v>272</v>
      </c>
      <c r="B9" s="53">
        <v>1682</v>
      </c>
      <c r="C9" s="50" t="s">
        <v>273</v>
      </c>
    </row>
    <row r="10" spans="1:9" ht="18" customHeight="1" x14ac:dyDescent="0.3">
      <c r="A10" s="7" t="s">
        <v>274</v>
      </c>
      <c r="B10" s="53">
        <v>3800</v>
      </c>
      <c r="C10" s="50" t="s">
        <v>275</v>
      </c>
    </row>
    <row r="11" spans="1:9" ht="18" customHeight="1" x14ac:dyDescent="0.3">
      <c r="A11" s="8" t="s">
        <v>276</v>
      </c>
      <c r="B11" s="53">
        <v>526</v>
      </c>
      <c r="C11" s="50" t="s">
        <v>277</v>
      </c>
    </row>
    <row r="12" spans="1:9" ht="18" customHeight="1" x14ac:dyDescent="0.3">
      <c r="A12" s="7" t="s">
        <v>278</v>
      </c>
      <c r="B12" s="53">
        <v>614</v>
      </c>
      <c r="C12" s="50" t="s">
        <v>279</v>
      </c>
    </row>
    <row r="13" spans="1:9" ht="18" customHeight="1" x14ac:dyDescent="0.3">
      <c r="A13" s="8" t="s">
        <v>280</v>
      </c>
      <c r="B13" s="53">
        <v>140000</v>
      </c>
      <c r="C13" s="50" t="s">
        <v>281</v>
      </c>
    </row>
    <row r="14" spans="1:9" ht="18" customHeight="1" x14ac:dyDescent="0.3">
      <c r="A14" s="7" t="s">
        <v>282</v>
      </c>
      <c r="B14" s="53">
        <v>120000</v>
      </c>
      <c r="C14" s="50" t="s">
        <v>283</v>
      </c>
    </row>
    <row r="15" spans="1:9" ht="18" customHeight="1" x14ac:dyDescent="0.3">
      <c r="A15" s="8" t="s">
        <v>284</v>
      </c>
      <c r="B15" s="53">
        <v>176000</v>
      </c>
      <c r="C15" s="50" t="s">
        <v>285</v>
      </c>
    </row>
    <row r="16" spans="1:9" ht="18" customHeight="1" x14ac:dyDescent="0.3">
      <c r="A16" s="7" t="s">
        <v>286</v>
      </c>
      <c r="B16" s="53">
        <v>700000</v>
      </c>
      <c r="C16" s="50" t="s">
        <v>287</v>
      </c>
    </row>
    <row r="17" spans="1:9" ht="18" customHeight="1" x14ac:dyDescent="0.3">
      <c r="A17" s="8" t="s">
        <v>288</v>
      </c>
      <c r="B17" s="49">
        <v>0.25</v>
      </c>
      <c r="C17" s="50" t="s">
        <v>289</v>
      </c>
    </row>
    <row r="18" spans="1:9" ht="18" customHeight="1" x14ac:dyDescent="0.3">
      <c r="A18" s="7" t="s">
        <v>290</v>
      </c>
      <c r="B18" s="53">
        <v>60000</v>
      </c>
      <c r="C18" s="50" t="s">
        <v>291</v>
      </c>
    </row>
    <row r="19" spans="1:9" ht="18" customHeight="1" x14ac:dyDescent="0.3">
      <c r="A19" s="8" t="s">
        <v>292</v>
      </c>
      <c r="B19" s="53">
        <v>120000</v>
      </c>
      <c r="C19" s="50" t="s">
        <v>293</v>
      </c>
    </row>
    <row r="20" spans="1:9" ht="18" customHeight="1" x14ac:dyDescent="0.3">
      <c r="A20" s="7" t="s">
        <v>294</v>
      </c>
      <c r="B20" s="53">
        <v>280000</v>
      </c>
      <c r="C20" s="50" t="s">
        <v>295</v>
      </c>
    </row>
    <row r="21" spans="1:9" ht="18" customHeight="1" x14ac:dyDescent="0.3">
      <c r="A21" s="8" t="s">
        <v>296</v>
      </c>
      <c r="B21" s="53">
        <v>350000</v>
      </c>
      <c r="C21" s="50" t="s">
        <v>297</v>
      </c>
    </row>
    <row r="23" spans="1:9" ht="18" customHeight="1" x14ac:dyDescent="0.3">
      <c r="A23" s="112" t="s">
        <v>298</v>
      </c>
      <c r="B23" s="112"/>
      <c r="C23" s="112"/>
      <c r="D23" s="112"/>
      <c r="E23" s="112"/>
      <c r="F23" s="112"/>
      <c r="G23" s="112"/>
      <c r="H23" s="112"/>
      <c r="I23" s="112"/>
    </row>
    <row r="24" spans="1:9" ht="27.75" customHeight="1" x14ac:dyDescent="0.3">
      <c r="A24" s="1" t="s">
        <v>299</v>
      </c>
      <c r="B24" s="2" t="s">
        <v>300</v>
      </c>
      <c r="C24" s="3" t="s">
        <v>301</v>
      </c>
      <c r="D24" s="4" t="s">
        <v>302</v>
      </c>
      <c r="E24" s="5" t="s">
        <v>303</v>
      </c>
      <c r="F24" s="6" t="s">
        <v>304</v>
      </c>
      <c r="G24" s="1" t="s">
        <v>305</v>
      </c>
    </row>
    <row r="25" spans="1:9" ht="15.75" customHeight="1" x14ac:dyDescent="0.3">
      <c r="A25" s="47" t="s">
        <v>306</v>
      </c>
      <c r="B25" s="47"/>
      <c r="C25" s="47"/>
      <c r="D25" s="47"/>
      <c r="E25" s="47"/>
      <c r="F25" s="47"/>
      <c r="G25" s="47"/>
    </row>
    <row r="26" spans="1:9" ht="18" customHeight="1" x14ac:dyDescent="0.3">
      <c r="A26" s="8" t="s">
        <v>307</v>
      </c>
      <c r="B26" s="54">
        <v>700000</v>
      </c>
      <c r="C26" s="54">
        <v>700000</v>
      </c>
      <c r="D26" s="54">
        <v>700000</v>
      </c>
      <c r="E26" s="54">
        <v>700000</v>
      </c>
      <c r="F26" s="54">
        <v>0</v>
      </c>
      <c r="G26" s="16" t="s">
        <v>308</v>
      </c>
    </row>
    <row r="27" spans="1:9" ht="18" customHeight="1" x14ac:dyDescent="0.3">
      <c r="A27" s="7" t="s">
        <v>309</v>
      </c>
      <c r="B27" s="55">
        <v>0</v>
      </c>
      <c r="C27" s="56">
        <v>-49920</v>
      </c>
      <c r="D27" s="56">
        <v>-49920</v>
      </c>
      <c r="E27" s="55">
        <v>0</v>
      </c>
      <c r="F27" s="55">
        <v>0</v>
      </c>
      <c r="G27" s="13" t="s">
        <v>310</v>
      </c>
    </row>
    <row r="28" spans="1:9" ht="18" customHeight="1" x14ac:dyDescent="0.3">
      <c r="A28" s="8" t="s">
        <v>311</v>
      </c>
      <c r="B28" s="54">
        <v>0</v>
      </c>
      <c r="C28" s="54">
        <v>4284</v>
      </c>
      <c r="D28" s="54">
        <v>0</v>
      </c>
      <c r="E28" s="54">
        <v>0</v>
      </c>
      <c r="F28" s="54">
        <v>0</v>
      </c>
      <c r="G28" s="16" t="s">
        <v>312</v>
      </c>
    </row>
    <row r="29" spans="1:9" ht="18" customHeight="1" x14ac:dyDescent="0.3">
      <c r="A29" s="7" t="s">
        <v>313</v>
      </c>
      <c r="B29" s="55">
        <v>0</v>
      </c>
      <c r="C29" s="55">
        <v>49612</v>
      </c>
      <c r="D29" s="55">
        <v>0</v>
      </c>
      <c r="E29" s="55">
        <v>0</v>
      </c>
      <c r="F29" s="55">
        <v>0</v>
      </c>
      <c r="G29" s="13" t="s">
        <v>314</v>
      </c>
    </row>
    <row r="30" spans="1:9" ht="18" customHeight="1" x14ac:dyDescent="0.3">
      <c r="A30" s="8" t="s">
        <v>315</v>
      </c>
      <c r="B30" s="54">
        <v>0</v>
      </c>
      <c r="C30" s="54">
        <v>0</v>
      </c>
      <c r="D30" s="54">
        <v>96000</v>
      </c>
      <c r="E30" s="54">
        <v>0</v>
      </c>
      <c r="F30" s="54">
        <v>0</v>
      </c>
      <c r="G30" s="16" t="s">
        <v>316</v>
      </c>
    </row>
    <row r="31" spans="1:9" ht="18" customHeight="1" x14ac:dyDescent="0.3">
      <c r="A31" s="7" t="s">
        <v>317</v>
      </c>
      <c r="B31" s="55">
        <v>0</v>
      </c>
      <c r="C31" s="55">
        <v>0</v>
      </c>
      <c r="D31" s="55">
        <v>17659</v>
      </c>
      <c r="E31" s="55">
        <v>0</v>
      </c>
      <c r="F31" s="55">
        <v>0</v>
      </c>
      <c r="G31" s="13" t="s">
        <v>318</v>
      </c>
    </row>
    <row r="32" spans="1:9" ht="18" customHeight="1" x14ac:dyDescent="0.3">
      <c r="A32" s="8" t="s">
        <v>319</v>
      </c>
      <c r="B32" s="54">
        <v>0</v>
      </c>
      <c r="C32" s="54">
        <v>0</v>
      </c>
      <c r="D32" s="54">
        <v>0</v>
      </c>
      <c r="E32" s="54">
        <v>20184</v>
      </c>
      <c r="F32" s="54">
        <v>0</v>
      </c>
      <c r="G32" s="16" t="s">
        <v>320</v>
      </c>
    </row>
    <row r="33" spans="1:7" ht="18" customHeight="1" x14ac:dyDescent="0.3">
      <c r="A33" s="7" t="s">
        <v>321</v>
      </c>
      <c r="B33" s="55">
        <v>0</v>
      </c>
      <c r="C33" s="55">
        <v>0</v>
      </c>
      <c r="D33" s="55">
        <v>0</v>
      </c>
      <c r="E33" s="55">
        <v>30000</v>
      </c>
      <c r="F33" s="55">
        <v>0</v>
      </c>
      <c r="G33" s="13" t="s">
        <v>322</v>
      </c>
    </row>
    <row r="34" spans="1:7" ht="18" customHeight="1" x14ac:dyDescent="0.3">
      <c r="A34" s="8" t="s">
        <v>323</v>
      </c>
      <c r="B34" s="54">
        <v>0</v>
      </c>
      <c r="C34" s="54">
        <v>0</v>
      </c>
      <c r="D34" s="54">
        <v>0</v>
      </c>
      <c r="E34" s="54">
        <v>0</v>
      </c>
      <c r="F34" s="54">
        <v>45600</v>
      </c>
      <c r="G34" s="16" t="s">
        <v>324</v>
      </c>
    </row>
    <row r="35" spans="1:7" ht="18" customHeight="1" x14ac:dyDescent="0.3">
      <c r="A35" s="7" t="s">
        <v>325</v>
      </c>
      <c r="B35" s="55">
        <v>0</v>
      </c>
      <c r="C35" s="55">
        <v>0</v>
      </c>
      <c r="D35" s="55">
        <v>0</v>
      </c>
      <c r="E35" s="55">
        <v>0</v>
      </c>
      <c r="F35" s="55">
        <v>36000</v>
      </c>
      <c r="G35" s="13" t="s">
        <v>326</v>
      </c>
    </row>
    <row r="36" spans="1:7" ht="18" customHeight="1" x14ac:dyDescent="0.3">
      <c r="A36" s="8" t="s">
        <v>327</v>
      </c>
      <c r="B36" s="54">
        <v>40000</v>
      </c>
      <c r="C36" s="54">
        <v>6000</v>
      </c>
      <c r="D36" s="54">
        <v>6000</v>
      </c>
      <c r="E36" s="54">
        <v>18000</v>
      </c>
      <c r="F36" s="54">
        <v>12000</v>
      </c>
      <c r="G36" s="16" t="s">
        <v>328</v>
      </c>
    </row>
    <row r="37" spans="1:7" ht="18" customHeight="1" x14ac:dyDescent="0.3">
      <c r="A37" s="7" t="s">
        <v>329</v>
      </c>
      <c r="B37" s="55">
        <v>30000</v>
      </c>
      <c r="C37" s="55">
        <v>12000</v>
      </c>
      <c r="D37" s="55">
        <v>12000</v>
      </c>
      <c r="E37" s="55">
        <v>18000</v>
      </c>
      <c r="F37" s="55">
        <v>24000</v>
      </c>
      <c r="G37" s="13" t="s">
        <v>330</v>
      </c>
    </row>
    <row r="38" spans="1:7" ht="18" customHeight="1" x14ac:dyDescent="0.3">
      <c r="A38" s="8" t="s">
        <v>331</v>
      </c>
      <c r="B38" s="54">
        <v>0</v>
      </c>
      <c r="C38" s="54">
        <v>120000</v>
      </c>
      <c r="D38" s="54">
        <v>150000</v>
      </c>
      <c r="E38" s="54">
        <v>180000</v>
      </c>
      <c r="F38" s="54">
        <v>280000</v>
      </c>
      <c r="G38" s="16" t="s">
        <v>332</v>
      </c>
    </row>
    <row r="39" spans="1:7" ht="15.75" customHeight="1" x14ac:dyDescent="0.3">
      <c r="A39" s="48" t="s">
        <v>333</v>
      </c>
      <c r="B39" s="48"/>
      <c r="C39" s="48"/>
      <c r="D39" s="48"/>
      <c r="E39" s="48"/>
      <c r="F39" s="48"/>
      <c r="G39" s="48"/>
    </row>
    <row r="40" spans="1:7" ht="18" customHeight="1" x14ac:dyDescent="0.3">
      <c r="A40" s="8" t="s">
        <v>334</v>
      </c>
      <c r="B40" s="54">
        <v>176000</v>
      </c>
      <c r="C40" s="54">
        <v>176000</v>
      </c>
      <c r="D40" s="54">
        <v>176000</v>
      </c>
      <c r="E40" s="54">
        <v>176000</v>
      </c>
      <c r="F40" s="54">
        <v>0</v>
      </c>
      <c r="G40" s="16" t="s">
        <v>335</v>
      </c>
    </row>
    <row r="41" spans="1:7" ht="18" customHeight="1" x14ac:dyDescent="0.3">
      <c r="A41" s="7" t="s">
        <v>336</v>
      </c>
      <c r="B41" s="55">
        <v>60000</v>
      </c>
      <c r="C41" s="55">
        <v>6312</v>
      </c>
      <c r="D41" s="55">
        <v>6312</v>
      </c>
      <c r="E41" s="55">
        <v>6312</v>
      </c>
      <c r="F41" s="55">
        <v>7368</v>
      </c>
      <c r="G41" s="13" t="s">
        <v>337</v>
      </c>
    </row>
    <row r="42" spans="1:7" ht="18" customHeight="1" x14ac:dyDescent="0.3">
      <c r="A42" s="8" t="s">
        <v>338</v>
      </c>
      <c r="B42" s="54">
        <v>20000</v>
      </c>
      <c r="C42" s="54">
        <v>3600</v>
      </c>
      <c r="D42" s="54">
        <v>3600</v>
      </c>
      <c r="E42" s="54">
        <v>3600</v>
      </c>
      <c r="F42" s="54">
        <v>1200</v>
      </c>
      <c r="G42" s="16" t="s">
        <v>339</v>
      </c>
    </row>
    <row r="43" spans="1:7" ht="18" customHeight="1" x14ac:dyDescent="0.3">
      <c r="A43" s="7" t="s">
        <v>340</v>
      </c>
      <c r="B43" s="55">
        <v>12000</v>
      </c>
      <c r="C43" s="55">
        <v>3600</v>
      </c>
      <c r="D43" s="55">
        <v>3600</v>
      </c>
      <c r="E43" s="55">
        <v>3600</v>
      </c>
      <c r="F43" s="55">
        <v>0</v>
      </c>
      <c r="G43" s="13" t="s">
        <v>341</v>
      </c>
    </row>
    <row r="44" spans="1:7" ht="18" customHeight="1" x14ac:dyDescent="0.3">
      <c r="A44" s="8" t="s">
        <v>342</v>
      </c>
      <c r="B44" s="54">
        <v>0</v>
      </c>
      <c r="C44" s="54">
        <v>60000</v>
      </c>
      <c r="D44" s="54">
        <v>60000</v>
      </c>
      <c r="E44" s="54">
        <v>60000</v>
      </c>
      <c r="F44" s="54">
        <v>350000</v>
      </c>
      <c r="G44" s="16" t="s">
        <v>343</v>
      </c>
    </row>
    <row r="45" spans="1:7" ht="15.75" customHeight="1" x14ac:dyDescent="0.3">
      <c r="A45" s="47" t="s">
        <v>344</v>
      </c>
      <c r="B45" s="47"/>
      <c r="C45" s="47"/>
      <c r="D45" s="47"/>
      <c r="E45" s="47"/>
      <c r="F45" s="47"/>
      <c r="G45" s="47"/>
    </row>
    <row r="46" spans="1:7" ht="18" customHeight="1" x14ac:dyDescent="0.3">
      <c r="A46" s="8" t="s">
        <v>345</v>
      </c>
      <c r="B46" s="54">
        <v>240000</v>
      </c>
      <c r="C46" s="54">
        <v>0</v>
      </c>
      <c r="D46" s="54">
        <v>0</v>
      </c>
      <c r="E46" s="54">
        <v>0</v>
      </c>
      <c r="F46" s="54">
        <v>0</v>
      </c>
      <c r="G46" s="16" t="s">
        <v>346</v>
      </c>
    </row>
    <row r="47" spans="1:7" ht="18" customHeight="1" x14ac:dyDescent="0.3">
      <c r="A47" s="7" t="s">
        <v>347</v>
      </c>
      <c r="B47" s="55">
        <v>80000</v>
      </c>
      <c r="C47" s="55">
        <v>0</v>
      </c>
      <c r="D47" s="55">
        <v>0</v>
      </c>
      <c r="E47" s="55">
        <v>0</v>
      </c>
      <c r="F47" s="55">
        <v>0</v>
      </c>
      <c r="G47" s="13" t="s">
        <v>348</v>
      </c>
    </row>
    <row r="48" spans="1:7" ht="18" customHeight="1" x14ac:dyDescent="0.3">
      <c r="A48" s="8" t="s">
        <v>349</v>
      </c>
      <c r="B48" s="54">
        <v>120000</v>
      </c>
      <c r="C48" s="54">
        <v>0</v>
      </c>
      <c r="D48" s="54">
        <v>0</v>
      </c>
      <c r="E48" s="54">
        <v>0</v>
      </c>
      <c r="F48" s="54">
        <v>0</v>
      </c>
      <c r="G48" s="16" t="s">
        <v>348</v>
      </c>
    </row>
    <row r="49" spans="1:9" ht="18" customHeight="1" x14ac:dyDescent="0.3">
      <c r="A49" s="7" t="s">
        <v>350</v>
      </c>
      <c r="B49" s="55">
        <v>280000</v>
      </c>
      <c r="C49" s="55">
        <v>210000</v>
      </c>
      <c r="D49" s="55">
        <v>210000</v>
      </c>
      <c r="E49" s="55">
        <v>210000</v>
      </c>
      <c r="F49" s="55">
        <v>140000</v>
      </c>
      <c r="G49" s="13" t="s">
        <v>351</v>
      </c>
    </row>
    <row r="50" spans="1:9" ht="18" customHeight="1" x14ac:dyDescent="0.3">
      <c r="A50" s="8" t="s">
        <v>352</v>
      </c>
      <c r="B50" s="54">
        <v>120000</v>
      </c>
      <c r="C50" s="54">
        <v>90000</v>
      </c>
      <c r="D50" s="54">
        <v>90000</v>
      </c>
      <c r="E50" s="54">
        <v>90000</v>
      </c>
      <c r="F50" s="54">
        <v>60000</v>
      </c>
      <c r="G50" s="16" t="s">
        <v>353</v>
      </c>
    </row>
    <row r="51" spans="1:9" ht="18" customHeight="1" x14ac:dyDescent="0.3">
      <c r="A51" s="7" t="s">
        <v>354</v>
      </c>
      <c r="B51" s="55">
        <v>0</v>
      </c>
      <c r="C51" s="55">
        <v>24000</v>
      </c>
      <c r="D51" s="55">
        <v>24000</v>
      </c>
      <c r="E51" s="55">
        <v>24000</v>
      </c>
      <c r="F51" s="55">
        <v>24000</v>
      </c>
      <c r="G51" s="13" t="s">
        <v>355</v>
      </c>
    </row>
    <row r="52" spans="1:9" ht="18" customHeight="1" x14ac:dyDescent="0.3">
      <c r="A52" s="8" t="s">
        <v>356</v>
      </c>
      <c r="B52" s="54">
        <v>40000</v>
      </c>
      <c r="C52" s="54">
        <v>12000</v>
      </c>
      <c r="D52" s="54">
        <v>12000</v>
      </c>
      <c r="E52" s="54">
        <v>24000</v>
      </c>
      <c r="F52" s="54">
        <v>6000</v>
      </c>
      <c r="G52" s="16" t="s">
        <v>357</v>
      </c>
    </row>
    <row r="53" spans="1:9" x14ac:dyDescent="0.3">
      <c r="A53" s="57" t="s">
        <v>358</v>
      </c>
      <c r="B53" s="58">
        <f>SUM(B25:B52)</f>
        <v>1918000</v>
      </c>
      <c r="C53" s="59">
        <f>SUM(C25:C52)</f>
        <v>1427488</v>
      </c>
      <c r="D53" s="60">
        <f>SUM(D25:D52)</f>
        <v>1517251</v>
      </c>
      <c r="E53" s="61">
        <f>SUM(E25:E52)</f>
        <v>1563696</v>
      </c>
      <c r="F53" s="62">
        <f>SUM(F25:F52)</f>
        <v>986168</v>
      </c>
      <c r="G53" s="63"/>
    </row>
    <row r="55" spans="1:9" ht="18" customHeight="1" x14ac:dyDescent="0.3">
      <c r="A55" s="112" t="s">
        <v>359</v>
      </c>
      <c r="B55" s="112"/>
      <c r="C55" s="112"/>
      <c r="D55" s="112"/>
      <c r="E55" s="112"/>
      <c r="F55" s="112"/>
      <c r="G55" s="112"/>
      <c r="H55" s="112"/>
      <c r="I55" s="112"/>
    </row>
    <row r="56" spans="1:9" ht="27.75" customHeight="1" x14ac:dyDescent="0.3">
      <c r="A56" s="1" t="s">
        <v>299</v>
      </c>
      <c r="B56" s="2" t="s">
        <v>300</v>
      </c>
      <c r="C56" s="3" t="s">
        <v>301</v>
      </c>
      <c r="D56" s="4" t="s">
        <v>302</v>
      </c>
      <c r="E56" s="5" t="s">
        <v>303</v>
      </c>
      <c r="F56" s="6" t="s">
        <v>304</v>
      </c>
      <c r="G56" s="1" t="s">
        <v>305</v>
      </c>
    </row>
    <row r="57" spans="1:9" ht="15.75" customHeight="1" x14ac:dyDescent="0.3">
      <c r="A57" s="47" t="s">
        <v>306</v>
      </c>
      <c r="B57" s="47"/>
      <c r="C57" s="47"/>
      <c r="D57" s="47"/>
      <c r="E57" s="47"/>
      <c r="F57" s="47"/>
      <c r="G57" s="47"/>
    </row>
    <row r="58" spans="1:9" ht="18" customHeight="1" x14ac:dyDescent="0.3">
      <c r="A58" s="8" t="s">
        <v>307</v>
      </c>
      <c r="B58" s="54">
        <v>735000</v>
      </c>
      <c r="C58" s="54">
        <v>735000</v>
      </c>
      <c r="D58" s="54">
        <v>735000</v>
      </c>
      <c r="E58" s="54">
        <v>735000</v>
      </c>
      <c r="F58" s="54">
        <v>0</v>
      </c>
      <c r="G58" s="16"/>
    </row>
    <row r="59" spans="1:9" ht="18" customHeight="1" x14ac:dyDescent="0.3">
      <c r="A59" s="7" t="s">
        <v>309</v>
      </c>
      <c r="B59" s="55">
        <v>0</v>
      </c>
      <c r="C59" s="56">
        <v>-52500</v>
      </c>
      <c r="D59" s="56">
        <v>-52500</v>
      </c>
      <c r="E59" s="55">
        <v>0</v>
      </c>
      <c r="F59" s="55">
        <v>0</v>
      </c>
      <c r="G59" s="13"/>
    </row>
    <row r="60" spans="1:9" ht="18" customHeight="1" x14ac:dyDescent="0.3">
      <c r="A60" s="8" t="s">
        <v>311</v>
      </c>
      <c r="B60" s="54">
        <v>0</v>
      </c>
      <c r="C60" s="54">
        <v>4284</v>
      </c>
      <c r="D60" s="54">
        <v>0</v>
      </c>
      <c r="E60" s="54">
        <v>0</v>
      </c>
      <c r="F60" s="54">
        <v>0</v>
      </c>
      <c r="G60" s="16"/>
    </row>
    <row r="61" spans="1:9" ht="18" customHeight="1" x14ac:dyDescent="0.3">
      <c r="A61" s="7" t="s">
        <v>313</v>
      </c>
      <c r="B61" s="55">
        <v>0</v>
      </c>
      <c r="C61" s="55">
        <v>49612</v>
      </c>
      <c r="D61" s="55">
        <v>0</v>
      </c>
      <c r="E61" s="55">
        <v>0</v>
      </c>
      <c r="F61" s="55">
        <v>0</v>
      </c>
      <c r="G61" s="13"/>
    </row>
    <row r="62" spans="1:9" ht="18" customHeight="1" x14ac:dyDescent="0.3">
      <c r="A62" s="8" t="s">
        <v>315</v>
      </c>
      <c r="B62" s="54">
        <v>0</v>
      </c>
      <c r="C62" s="54">
        <v>0</v>
      </c>
      <c r="D62" s="54">
        <v>96000</v>
      </c>
      <c r="E62" s="54">
        <v>0</v>
      </c>
      <c r="F62" s="54">
        <v>0</v>
      </c>
      <c r="G62" s="16"/>
    </row>
    <row r="63" spans="1:9" ht="18" customHeight="1" x14ac:dyDescent="0.3">
      <c r="A63" s="7" t="s">
        <v>317</v>
      </c>
      <c r="B63" s="55">
        <v>0</v>
      </c>
      <c r="C63" s="55">
        <v>0</v>
      </c>
      <c r="D63" s="55">
        <v>17659</v>
      </c>
      <c r="E63" s="55">
        <v>0</v>
      </c>
      <c r="F63" s="55">
        <v>0</v>
      </c>
      <c r="G63" s="13"/>
    </row>
    <row r="64" spans="1:9" ht="18" customHeight="1" x14ac:dyDescent="0.3">
      <c r="A64" s="8" t="s">
        <v>319</v>
      </c>
      <c r="B64" s="54">
        <v>0</v>
      </c>
      <c r="C64" s="54">
        <v>0</v>
      </c>
      <c r="D64" s="54">
        <v>0</v>
      </c>
      <c r="E64" s="54">
        <v>20184</v>
      </c>
      <c r="F64" s="54">
        <v>0</v>
      </c>
      <c r="G64" s="16"/>
    </row>
    <row r="65" spans="1:7" ht="18" customHeight="1" x14ac:dyDescent="0.3">
      <c r="A65" s="7" t="s">
        <v>321</v>
      </c>
      <c r="B65" s="55">
        <v>0</v>
      </c>
      <c r="C65" s="55">
        <v>0</v>
      </c>
      <c r="D65" s="55">
        <v>0</v>
      </c>
      <c r="E65" s="55">
        <v>30000</v>
      </c>
      <c r="F65" s="55">
        <v>0</v>
      </c>
      <c r="G65" s="13"/>
    </row>
    <row r="66" spans="1:7" ht="18" customHeight="1" x14ac:dyDescent="0.3">
      <c r="A66" s="8" t="s">
        <v>323</v>
      </c>
      <c r="B66" s="54">
        <v>0</v>
      </c>
      <c r="C66" s="54">
        <v>0</v>
      </c>
      <c r="D66" s="54">
        <v>0</v>
      </c>
      <c r="E66" s="54">
        <v>0</v>
      </c>
      <c r="F66" s="54">
        <v>45600</v>
      </c>
      <c r="G66" s="16"/>
    </row>
    <row r="67" spans="1:7" ht="18" customHeight="1" x14ac:dyDescent="0.3">
      <c r="A67" s="7" t="s">
        <v>325</v>
      </c>
      <c r="B67" s="55">
        <v>0</v>
      </c>
      <c r="C67" s="55">
        <v>0</v>
      </c>
      <c r="D67" s="55">
        <v>0</v>
      </c>
      <c r="E67" s="55">
        <v>0</v>
      </c>
      <c r="F67" s="55">
        <v>36000</v>
      </c>
      <c r="G67" s="13"/>
    </row>
    <row r="68" spans="1:7" ht="18" customHeight="1" x14ac:dyDescent="0.3">
      <c r="A68" s="8" t="s">
        <v>327</v>
      </c>
      <c r="B68" s="54">
        <v>40000</v>
      </c>
      <c r="C68" s="54">
        <v>6000</v>
      </c>
      <c r="D68" s="54">
        <v>6000</v>
      </c>
      <c r="E68" s="54">
        <v>18000</v>
      </c>
      <c r="F68" s="54">
        <v>12000</v>
      </c>
      <c r="G68" s="16"/>
    </row>
    <row r="69" spans="1:7" ht="18" customHeight="1" x14ac:dyDescent="0.3">
      <c r="A69" s="7" t="s">
        <v>329</v>
      </c>
      <c r="B69" s="55">
        <v>30000</v>
      </c>
      <c r="C69" s="55">
        <v>12000</v>
      </c>
      <c r="D69" s="55">
        <v>12000</v>
      </c>
      <c r="E69" s="55">
        <v>18000</v>
      </c>
      <c r="F69" s="55">
        <v>24000</v>
      </c>
      <c r="G69" s="13"/>
    </row>
    <row r="70" spans="1:7" ht="18" customHeight="1" x14ac:dyDescent="0.3">
      <c r="A70" s="8" t="s">
        <v>331</v>
      </c>
      <c r="B70" s="54">
        <v>0</v>
      </c>
      <c r="C70" s="54">
        <v>0</v>
      </c>
      <c r="D70" s="54">
        <v>0</v>
      </c>
      <c r="E70" s="54">
        <v>0</v>
      </c>
      <c r="F70" s="54">
        <v>0</v>
      </c>
      <c r="G70" s="16"/>
    </row>
    <row r="71" spans="1:7" ht="15.75" customHeight="1" x14ac:dyDescent="0.3">
      <c r="A71" s="48" t="s">
        <v>333</v>
      </c>
      <c r="B71" s="48"/>
      <c r="C71" s="48"/>
      <c r="D71" s="48"/>
      <c r="E71" s="48"/>
      <c r="F71" s="48"/>
      <c r="G71" s="48"/>
    </row>
    <row r="72" spans="1:7" ht="18" customHeight="1" x14ac:dyDescent="0.3">
      <c r="A72" s="8" t="s">
        <v>334</v>
      </c>
      <c r="B72" s="54">
        <v>184800</v>
      </c>
      <c r="C72" s="54">
        <v>184800</v>
      </c>
      <c r="D72" s="54">
        <v>184800</v>
      </c>
      <c r="E72" s="54">
        <v>184800</v>
      </c>
      <c r="F72" s="54">
        <v>0</v>
      </c>
      <c r="G72" s="16"/>
    </row>
    <row r="73" spans="1:7" ht="18" customHeight="1" x14ac:dyDescent="0.3">
      <c r="A73" s="7" t="s">
        <v>336</v>
      </c>
      <c r="B73" s="55">
        <v>60000</v>
      </c>
      <c r="C73" s="55">
        <v>6312</v>
      </c>
      <c r="D73" s="55">
        <v>6312</v>
      </c>
      <c r="E73" s="55">
        <v>6312</v>
      </c>
      <c r="F73" s="55">
        <v>7368</v>
      </c>
      <c r="G73" s="13"/>
    </row>
    <row r="74" spans="1:7" ht="18" customHeight="1" x14ac:dyDescent="0.3">
      <c r="A74" s="8" t="s">
        <v>338</v>
      </c>
      <c r="B74" s="54">
        <v>20000</v>
      </c>
      <c r="C74" s="54">
        <v>3600</v>
      </c>
      <c r="D74" s="54">
        <v>3600</v>
      </c>
      <c r="E74" s="54">
        <v>3600</v>
      </c>
      <c r="F74" s="54">
        <v>1200</v>
      </c>
      <c r="G74" s="16"/>
    </row>
    <row r="75" spans="1:7" ht="18" customHeight="1" x14ac:dyDescent="0.3">
      <c r="A75" s="7" t="s">
        <v>340</v>
      </c>
      <c r="B75" s="55">
        <v>12000</v>
      </c>
      <c r="C75" s="55">
        <v>3600</v>
      </c>
      <c r="D75" s="55">
        <v>3600</v>
      </c>
      <c r="E75" s="55">
        <v>3600</v>
      </c>
      <c r="F75" s="55">
        <v>0</v>
      </c>
      <c r="G75" s="13"/>
    </row>
    <row r="76" spans="1:7" ht="18" customHeight="1" x14ac:dyDescent="0.3">
      <c r="A76" s="8" t="s">
        <v>342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16"/>
    </row>
    <row r="77" spans="1:7" ht="15.75" customHeight="1" x14ac:dyDescent="0.3">
      <c r="A77" s="47" t="s">
        <v>344</v>
      </c>
      <c r="B77" s="47"/>
      <c r="C77" s="47"/>
      <c r="D77" s="47"/>
      <c r="E77" s="47"/>
      <c r="F77" s="47"/>
      <c r="G77" s="47"/>
    </row>
    <row r="78" spans="1:7" ht="18" customHeight="1" x14ac:dyDescent="0.3">
      <c r="A78" s="8" t="s">
        <v>345</v>
      </c>
      <c r="B78" s="54">
        <v>240000</v>
      </c>
      <c r="C78" s="54">
        <v>0</v>
      </c>
      <c r="D78" s="54">
        <v>0</v>
      </c>
      <c r="E78" s="54">
        <v>0</v>
      </c>
      <c r="F78" s="54">
        <v>0</v>
      </c>
      <c r="G78" s="16"/>
    </row>
    <row r="79" spans="1:7" ht="18" customHeight="1" x14ac:dyDescent="0.3">
      <c r="A79" s="7" t="s">
        <v>347</v>
      </c>
      <c r="B79" s="55">
        <v>80000</v>
      </c>
      <c r="C79" s="55">
        <v>0</v>
      </c>
      <c r="D79" s="55">
        <v>0</v>
      </c>
      <c r="E79" s="55">
        <v>0</v>
      </c>
      <c r="F79" s="55">
        <v>0</v>
      </c>
      <c r="G79" s="13"/>
    </row>
    <row r="80" spans="1:7" ht="18" customHeight="1" x14ac:dyDescent="0.3">
      <c r="A80" s="8" t="s">
        <v>349</v>
      </c>
      <c r="B80" s="54">
        <v>120000</v>
      </c>
      <c r="C80" s="54">
        <v>0</v>
      </c>
      <c r="D80" s="54">
        <v>0</v>
      </c>
      <c r="E80" s="54">
        <v>0</v>
      </c>
      <c r="F80" s="54">
        <v>0</v>
      </c>
      <c r="G80" s="16"/>
    </row>
    <row r="81" spans="1:9" ht="18" customHeight="1" x14ac:dyDescent="0.3">
      <c r="A81" s="7" t="s">
        <v>350</v>
      </c>
      <c r="B81" s="55">
        <v>280000</v>
      </c>
      <c r="C81" s="55">
        <v>210000</v>
      </c>
      <c r="D81" s="55">
        <v>210000</v>
      </c>
      <c r="E81" s="55">
        <v>210000</v>
      </c>
      <c r="F81" s="55">
        <v>140000</v>
      </c>
      <c r="G81" s="13"/>
    </row>
    <row r="82" spans="1:9" ht="18" customHeight="1" x14ac:dyDescent="0.3">
      <c r="A82" s="8" t="s">
        <v>352</v>
      </c>
      <c r="B82" s="54">
        <v>120000</v>
      </c>
      <c r="C82" s="54">
        <v>90000</v>
      </c>
      <c r="D82" s="54">
        <v>90000</v>
      </c>
      <c r="E82" s="54">
        <v>90000</v>
      </c>
      <c r="F82" s="54">
        <v>60000</v>
      </c>
      <c r="G82" s="16"/>
    </row>
    <row r="83" spans="1:9" ht="18" customHeight="1" x14ac:dyDescent="0.3">
      <c r="A83" s="7" t="s">
        <v>354</v>
      </c>
      <c r="B83" s="55">
        <v>0</v>
      </c>
      <c r="C83" s="55">
        <v>24000</v>
      </c>
      <c r="D83" s="55">
        <v>24000</v>
      </c>
      <c r="E83" s="55">
        <v>24000</v>
      </c>
      <c r="F83" s="55">
        <v>24000</v>
      </c>
      <c r="G83" s="13"/>
    </row>
    <row r="84" spans="1:9" ht="18" customHeight="1" x14ac:dyDescent="0.3">
      <c r="A84" s="8" t="s">
        <v>356</v>
      </c>
      <c r="B84" s="54">
        <v>40000</v>
      </c>
      <c r="C84" s="54">
        <v>12000</v>
      </c>
      <c r="D84" s="54">
        <v>12000</v>
      </c>
      <c r="E84" s="54">
        <v>24000</v>
      </c>
      <c r="F84" s="54">
        <v>6000</v>
      </c>
      <c r="G84" s="16"/>
    </row>
    <row r="85" spans="1:9" x14ac:dyDescent="0.3">
      <c r="A85" s="57" t="s">
        <v>360</v>
      </c>
      <c r="B85" s="58">
        <f>SUM(B57:B84)</f>
        <v>1961800</v>
      </c>
      <c r="C85" s="59">
        <f>SUM(C57:C84)</f>
        <v>1288708</v>
      </c>
      <c r="D85" s="60">
        <f>SUM(D57:D84)</f>
        <v>1348471</v>
      </c>
      <c r="E85" s="61">
        <f>SUM(E57:E84)</f>
        <v>1367496</v>
      </c>
      <c r="F85" s="62">
        <f>SUM(F57:F84)</f>
        <v>356168</v>
      </c>
      <c r="G85" s="63"/>
    </row>
    <row r="87" spans="1:9" ht="18" customHeight="1" x14ac:dyDescent="0.3">
      <c r="A87" s="112" t="s">
        <v>361</v>
      </c>
      <c r="B87" s="112"/>
      <c r="C87" s="112"/>
      <c r="D87" s="112"/>
      <c r="E87" s="112"/>
      <c r="F87" s="112"/>
      <c r="G87" s="112"/>
      <c r="H87" s="112"/>
      <c r="I87" s="112"/>
    </row>
    <row r="88" spans="1:9" ht="27.75" customHeight="1" x14ac:dyDescent="0.3">
      <c r="A88" s="1" t="s">
        <v>299</v>
      </c>
      <c r="B88" s="2" t="s">
        <v>300</v>
      </c>
      <c r="C88" s="3" t="s">
        <v>301</v>
      </c>
      <c r="D88" s="4" t="s">
        <v>302</v>
      </c>
      <c r="E88" s="5" t="s">
        <v>303</v>
      </c>
      <c r="F88" s="6" t="s">
        <v>304</v>
      </c>
      <c r="G88" s="1" t="s">
        <v>305</v>
      </c>
    </row>
    <row r="89" spans="1:9" ht="15.75" customHeight="1" x14ac:dyDescent="0.3">
      <c r="A89" s="47" t="s">
        <v>306</v>
      </c>
      <c r="B89" s="47"/>
      <c r="C89" s="47"/>
      <c r="D89" s="47"/>
      <c r="E89" s="47"/>
      <c r="F89" s="47"/>
      <c r="G89" s="47"/>
    </row>
    <row r="90" spans="1:9" ht="18" customHeight="1" x14ac:dyDescent="0.3">
      <c r="A90" s="8" t="s">
        <v>307</v>
      </c>
      <c r="B90" s="54">
        <v>771750</v>
      </c>
      <c r="C90" s="54">
        <v>771750</v>
      </c>
      <c r="D90" s="54">
        <v>771750</v>
      </c>
      <c r="E90" s="54">
        <v>771750</v>
      </c>
      <c r="F90" s="54">
        <v>0</v>
      </c>
      <c r="G90" s="16"/>
    </row>
    <row r="91" spans="1:9" ht="18" customHeight="1" x14ac:dyDescent="0.3">
      <c r="A91" s="7" t="s">
        <v>309</v>
      </c>
      <c r="B91" s="55">
        <v>0</v>
      </c>
      <c r="C91" s="56">
        <v>-52500</v>
      </c>
      <c r="D91" s="56">
        <v>-52500</v>
      </c>
      <c r="E91" s="55">
        <v>0</v>
      </c>
      <c r="F91" s="55">
        <v>0</v>
      </c>
      <c r="G91" s="13"/>
    </row>
    <row r="92" spans="1:9" ht="18" customHeight="1" x14ac:dyDescent="0.3">
      <c r="A92" s="8" t="s">
        <v>311</v>
      </c>
      <c r="B92" s="54">
        <v>0</v>
      </c>
      <c r="C92" s="54">
        <v>4284</v>
      </c>
      <c r="D92" s="54">
        <v>0</v>
      </c>
      <c r="E92" s="54">
        <v>0</v>
      </c>
      <c r="F92" s="54">
        <v>0</v>
      </c>
      <c r="G92" s="16"/>
    </row>
    <row r="93" spans="1:9" ht="18" customHeight="1" x14ac:dyDescent="0.3">
      <c r="A93" s="7" t="s">
        <v>313</v>
      </c>
      <c r="B93" s="55">
        <v>0</v>
      </c>
      <c r="C93" s="55">
        <v>49612</v>
      </c>
      <c r="D93" s="55">
        <v>0</v>
      </c>
      <c r="E93" s="55">
        <v>0</v>
      </c>
      <c r="F93" s="55">
        <v>0</v>
      </c>
      <c r="G93" s="13"/>
    </row>
    <row r="94" spans="1:9" ht="18" customHeight="1" x14ac:dyDescent="0.3">
      <c r="A94" s="8" t="s">
        <v>315</v>
      </c>
      <c r="B94" s="54">
        <v>0</v>
      </c>
      <c r="C94" s="54">
        <v>0</v>
      </c>
      <c r="D94" s="54">
        <v>96000</v>
      </c>
      <c r="E94" s="54">
        <v>0</v>
      </c>
      <c r="F94" s="54">
        <v>0</v>
      </c>
      <c r="G94" s="16"/>
    </row>
    <row r="95" spans="1:9" ht="18" customHeight="1" x14ac:dyDescent="0.3">
      <c r="A95" s="7" t="s">
        <v>317</v>
      </c>
      <c r="B95" s="55">
        <v>0</v>
      </c>
      <c r="C95" s="55">
        <v>0</v>
      </c>
      <c r="D95" s="55">
        <v>17659</v>
      </c>
      <c r="E95" s="55">
        <v>0</v>
      </c>
      <c r="F95" s="55">
        <v>0</v>
      </c>
      <c r="G95" s="13"/>
    </row>
    <row r="96" spans="1:9" ht="18" customHeight="1" x14ac:dyDescent="0.3">
      <c r="A96" s="8" t="s">
        <v>319</v>
      </c>
      <c r="B96" s="54">
        <v>0</v>
      </c>
      <c r="C96" s="54">
        <v>0</v>
      </c>
      <c r="D96" s="54">
        <v>0</v>
      </c>
      <c r="E96" s="54">
        <v>20184</v>
      </c>
      <c r="F96" s="54">
        <v>0</v>
      </c>
      <c r="G96" s="16"/>
    </row>
    <row r="97" spans="1:7" ht="18" customHeight="1" x14ac:dyDescent="0.3">
      <c r="A97" s="7" t="s">
        <v>321</v>
      </c>
      <c r="B97" s="55">
        <v>0</v>
      </c>
      <c r="C97" s="55">
        <v>0</v>
      </c>
      <c r="D97" s="55">
        <v>0</v>
      </c>
      <c r="E97" s="55">
        <v>30000</v>
      </c>
      <c r="F97" s="55">
        <v>0</v>
      </c>
      <c r="G97" s="13"/>
    </row>
    <row r="98" spans="1:7" ht="18" customHeight="1" x14ac:dyDescent="0.3">
      <c r="A98" s="8" t="s">
        <v>323</v>
      </c>
      <c r="B98" s="54">
        <v>0</v>
      </c>
      <c r="C98" s="54">
        <v>0</v>
      </c>
      <c r="D98" s="54">
        <v>0</v>
      </c>
      <c r="E98" s="54">
        <v>0</v>
      </c>
      <c r="F98" s="54">
        <v>45600</v>
      </c>
      <c r="G98" s="16"/>
    </row>
    <row r="99" spans="1:7" ht="18" customHeight="1" x14ac:dyDescent="0.3">
      <c r="A99" s="7" t="s">
        <v>325</v>
      </c>
      <c r="B99" s="55">
        <v>0</v>
      </c>
      <c r="C99" s="55">
        <v>0</v>
      </c>
      <c r="D99" s="55">
        <v>0</v>
      </c>
      <c r="E99" s="55">
        <v>0</v>
      </c>
      <c r="F99" s="55">
        <v>36000</v>
      </c>
      <c r="G99" s="13"/>
    </row>
    <row r="100" spans="1:7" ht="18" customHeight="1" x14ac:dyDescent="0.3">
      <c r="A100" s="8" t="s">
        <v>327</v>
      </c>
      <c r="B100" s="54">
        <v>40000</v>
      </c>
      <c r="C100" s="54">
        <v>6000</v>
      </c>
      <c r="D100" s="54">
        <v>6000</v>
      </c>
      <c r="E100" s="54">
        <v>18000</v>
      </c>
      <c r="F100" s="54">
        <v>12000</v>
      </c>
      <c r="G100" s="16"/>
    </row>
    <row r="101" spans="1:7" ht="18" customHeight="1" x14ac:dyDescent="0.3">
      <c r="A101" s="7" t="s">
        <v>329</v>
      </c>
      <c r="B101" s="55">
        <v>30000</v>
      </c>
      <c r="C101" s="55">
        <v>12000</v>
      </c>
      <c r="D101" s="55">
        <v>12000</v>
      </c>
      <c r="E101" s="55">
        <v>18000</v>
      </c>
      <c r="F101" s="55">
        <v>24000</v>
      </c>
      <c r="G101" s="13"/>
    </row>
    <row r="102" spans="1:7" ht="18" customHeight="1" x14ac:dyDescent="0.3">
      <c r="A102" s="8" t="s">
        <v>331</v>
      </c>
      <c r="B102" s="54">
        <v>0</v>
      </c>
      <c r="C102" s="54">
        <v>0</v>
      </c>
      <c r="D102" s="54">
        <v>0</v>
      </c>
      <c r="E102" s="54">
        <v>0</v>
      </c>
      <c r="F102" s="54">
        <v>0</v>
      </c>
      <c r="G102" s="16"/>
    </row>
    <row r="103" spans="1:7" ht="15.75" customHeight="1" x14ac:dyDescent="0.3">
      <c r="A103" s="48" t="s">
        <v>333</v>
      </c>
      <c r="B103" s="48"/>
      <c r="C103" s="48"/>
      <c r="D103" s="48"/>
      <c r="E103" s="48"/>
      <c r="F103" s="48"/>
      <c r="G103" s="48"/>
    </row>
    <row r="104" spans="1:7" ht="18" customHeight="1" x14ac:dyDescent="0.3">
      <c r="A104" s="8" t="s">
        <v>334</v>
      </c>
      <c r="B104" s="54">
        <v>194040</v>
      </c>
      <c r="C104" s="54">
        <v>194040</v>
      </c>
      <c r="D104" s="54">
        <v>194040</v>
      </c>
      <c r="E104" s="54">
        <v>194040</v>
      </c>
      <c r="F104" s="54">
        <v>0</v>
      </c>
      <c r="G104" s="16"/>
    </row>
    <row r="105" spans="1:7" ht="18" customHeight="1" x14ac:dyDescent="0.3">
      <c r="A105" s="7" t="s">
        <v>336</v>
      </c>
      <c r="B105" s="55">
        <v>60000</v>
      </c>
      <c r="C105" s="55">
        <v>6312</v>
      </c>
      <c r="D105" s="55">
        <v>6312</v>
      </c>
      <c r="E105" s="55">
        <v>6312</v>
      </c>
      <c r="F105" s="55">
        <v>7368</v>
      </c>
      <c r="G105" s="13"/>
    </row>
    <row r="106" spans="1:7" ht="18" customHeight="1" x14ac:dyDescent="0.3">
      <c r="A106" s="8" t="s">
        <v>338</v>
      </c>
      <c r="B106" s="54">
        <v>20000</v>
      </c>
      <c r="C106" s="54">
        <v>3600</v>
      </c>
      <c r="D106" s="54">
        <v>3600</v>
      </c>
      <c r="E106" s="54">
        <v>3600</v>
      </c>
      <c r="F106" s="54">
        <v>1200</v>
      </c>
      <c r="G106" s="16"/>
    </row>
    <row r="107" spans="1:7" ht="18" customHeight="1" x14ac:dyDescent="0.3">
      <c r="A107" s="7" t="s">
        <v>340</v>
      </c>
      <c r="B107" s="55">
        <v>12000</v>
      </c>
      <c r="C107" s="55">
        <v>3600</v>
      </c>
      <c r="D107" s="55">
        <v>3600</v>
      </c>
      <c r="E107" s="55">
        <v>3600</v>
      </c>
      <c r="F107" s="55">
        <v>0</v>
      </c>
      <c r="G107" s="13"/>
    </row>
    <row r="108" spans="1:7" ht="18" customHeight="1" x14ac:dyDescent="0.3">
      <c r="A108" s="8" t="s">
        <v>342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16"/>
    </row>
    <row r="109" spans="1:7" ht="15.75" customHeight="1" x14ac:dyDescent="0.3">
      <c r="A109" s="47" t="s">
        <v>344</v>
      </c>
      <c r="B109" s="47"/>
      <c r="C109" s="47"/>
      <c r="D109" s="47"/>
      <c r="E109" s="47"/>
      <c r="F109" s="47"/>
      <c r="G109" s="47"/>
    </row>
    <row r="110" spans="1:7" ht="18" customHeight="1" x14ac:dyDescent="0.3">
      <c r="A110" s="8" t="s">
        <v>345</v>
      </c>
      <c r="B110" s="54">
        <v>240000</v>
      </c>
      <c r="C110" s="54">
        <v>0</v>
      </c>
      <c r="D110" s="54">
        <v>0</v>
      </c>
      <c r="E110" s="54">
        <v>0</v>
      </c>
      <c r="F110" s="54">
        <v>0</v>
      </c>
      <c r="G110" s="16"/>
    </row>
    <row r="111" spans="1:7" ht="18" customHeight="1" x14ac:dyDescent="0.3">
      <c r="A111" s="7" t="s">
        <v>347</v>
      </c>
      <c r="B111" s="55">
        <v>80000</v>
      </c>
      <c r="C111" s="55">
        <v>0</v>
      </c>
      <c r="D111" s="55">
        <v>0</v>
      </c>
      <c r="E111" s="55">
        <v>0</v>
      </c>
      <c r="F111" s="55">
        <v>0</v>
      </c>
      <c r="G111" s="13"/>
    </row>
    <row r="112" spans="1:7" ht="18" customHeight="1" x14ac:dyDescent="0.3">
      <c r="A112" s="8" t="s">
        <v>349</v>
      </c>
      <c r="B112" s="54">
        <v>120000</v>
      </c>
      <c r="C112" s="54">
        <v>0</v>
      </c>
      <c r="D112" s="54">
        <v>0</v>
      </c>
      <c r="E112" s="54">
        <v>0</v>
      </c>
      <c r="F112" s="54">
        <v>0</v>
      </c>
      <c r="G112" s="16"/>
    </row>
    <row r="113" spans="1:9" ht="18" customHeight="1" x14ac:dyDescent="0.3">
      <c r="A113" s="7" t="s">
        <v>350</v>
      </c>
      <c r="B113" s="55">
        <v>280000</v>
      </c>
      <c r="C113" s="55">
        <v>210000</v>
      </c>
      <c r="D113" s="55">
        <v>210000</v>
      </c>
      <c r="E113" s="55">
        <v>210000</v>
      </c>
      <c r="F113" s="55">
        <v>140000</v>
      </c>
      <c r="G113" s="13"/>
    </row>
    <row r="114" spans="1:9" ht="18" customHeight="1" x14ac:dyDescent="0.3">
      <c r="A114" s="8" t="s">
        <v>352</v>
      </c>
      <c r="B114" s="54">
        <v>120000</v>
      </c>
      <c r="C114" s="54">
        <v>90000</v>
      </c>
      <c r="D114" s="54">
        <v>90000</v>
      </c>
      <c r="E114" s="54">
        <v>90000</v>
      </c>
      <c r="F114" s="54">
        <v>60000</v>
      </c>
      <c r="G114" s="16"/>
    </row>
    <row r="115" spans="1:9" ht="18" customHeight="1" x14ac:dyDescent="0.3">
      <c r="A115" s="7" t="s">
        <v>354</v>
      </c>
      <c r="B115" s="55">
        <v>0</v>
      </c>
      <c r="C115" s="55">
        <v>24000</v>
      </c>
      <c r="D115" s="55">
        <v>24000</v>
      </c>
      <c r="E115" s="55">
        <v>24000</v>
      </c>
      <c r="F115" s="55">
        <v>24000</v>
      </c>
      <c r="G115" s="13"/>
    </row>
    <row r="116" spans="1:9" ht="18" customHeight="1" x14ac:dyDescent="0.3">
      <c r="A116" s="8" t="s">
        <v>356</v>
      </c>
      <c r="B116" s="54">
        <v>40000</v>
      </c>
      <c r="C116" s="54">
        <v>12000</v>
      </c>
      <c r="D116" s="54">
        <v>12000</v>
      </c>
      <c r="E116" s="54">
        <v>24000</v>
      </c>
      <c r="F116" s="54">
        <v>6000</v>
      </c>
      <c r="G116" s="16"/>
    </row>
    <row r="117" spans="1:9" x14ac:dyDescent="0.3">
      <c r="A117" s="57" t="s">
        <v>362</v>
      </c>
      <c r="B117" s="58">
        <f>SUM(B89:B116)</f>
        <v>2007790</v>
      </c>
      <c r="C117" s="59">
        <f>SUM(C89:C116)</f>
        <v>1334698</v>
      </c>
      <c r="D117" s="60">
        <f>SUM(D89:D116)</f>
        <v>1394461</v>
      </c>
      <c r="E117" s="61">
        <f>SUM(E89:E116)</f>
        <v>1413486</v>
      </c>
      <c r="F117" s="62">
        <f>SUM(F89:F116)</f>
        <v>356168</v>
      </c>
      <c r="G117" s="63"/>
    </row>
    <row r="119" spans="1:9" ht="18" customHeight="1" x14ac:dyDescent="0.3">
      <c r="A119" s="111" t="s">
        <v>363</v>
      </c>
      <c r="B119" s="111"/>
      <c r="C119" s="111"/>
      <c r="D119" s="111"/>
      <c r="E119" s="111"/>
      <c r="F119" s="111"/>
      <c r="G119" s="111"/>
      <c r="H119" s="111"/>
      <c r="I119" s="111"/>
    </row>
    <row r="120" spans="1:9" x14ac:dyDescent="0.3">
      <c r="A120" s="11" t="s">
        <v>364</v>
      </c>
    </row>
    <row r="121" spans="1:9" x14ac:dyDescent="0.3">
      <c r="B121" s="11" t="s">
        <v>365</v>
      </c>
    </row>
    <row r="122" spans="1:9" x14ac:dyDescent="0.3">
      <c r="C122" s="11" t="s">
        <v>366</v>
      </c>
    </row>
    <row r="123" spans="1:9" x14ac:dyDescent="0.3">
      <c r="D123" s="11" t="s">
        <v>367</v>
      </c>
    </row>
    <row r="124" spans="1:9" x14ac:dyDescent="0.3">
      <c r="E124" s="11" t="s">
        <v>368</v>
      </c>
    </row>
    <row r="125" spans="1:9" x14ac:dyDescent="0.3">
      <c r="F125" s="11" t="s">
        <v>4</v>
      </c>
    </row>
    <row r="126" spans="1:9" x14ac:dyDescent="0.3">
      <c r="G126" s="11" t="s">
        <v>369</v>
      </c>
    </row>
    <row r="127" spans="1:9" x14ac:dyDescent="0.3">
      <c r="H127" s="11" t="s">
        <v>370</v>
      </c>
    </row>
    <row r="128" spans="1:9" ht="21.75" customHeight="1" x14ac:dyDescent="0.3">
      <c r="A128" s="64" t="s">
        <v>371</v>
      </c>
      <c r="B128" s="65">
        <v>1898000</v>
      </c>
      <c r="C128" s="65">
        <v>1583000</v>
      </c>
      <c r="D128" s="65">
        <v>1600000</v>
      </c>
      <c r="E128" s="65">
        <f>B128+C128+D128</f>
        <v>5081000</v>
      </c>
      <c r="F128" s="66" t="s">
        <v>5</v>
      </c>
      <c r="G128" s="66" t="s">
        <v>5</v>
      </c>
      <c r="H128" s="67" t="s">
        <v>0</v>
      </c>
    </row>
    <row r="129" spans="1:9" ht="21.75" customHeight="1" x14ac:dyDescent="0.3">
      <c r="A129" s="68" t="s">
        <v>372</v>
      </c>
      <c r="B129" s="69">
        <v>1252888</v>
      </c>
      <c r="C129" s="69">
        <v>956488</v>
      </c>
      <c r="D129" s="69">
        <v>974488</v>
      </c>
      <c r="E129" s="69">
        <f>B129+C129+D129</f>
        <v>3183864</v>
      </c>
      <c r="F129" s="70">
        <f>E128-E129</f>
        <v>1897136</v>
      </c>
      <c r="G129" s="71">
        <f>F129/E128</f>
        <v>0.3733784688053533</v>
      </c>
      <c r="H129" s="72" t="s">
        <v>1</v>
      </c>
    </row>
    <row r="130" spans="1:9" ht="21.75" customHeight="1" x14ac:dyDescent="0.3">
      <c r="A130" s="73" t="s">
        <v>373</v>
      </c>
      <c r="B130" s="74">
        <v>1671251</v>
      </c>
      <c r="C130" s="74">
        <v>1342751</v>
      </c>
      <c r="D130" s="74">
        <v>1360751</v>
      </c>
      <c r="E130" s="74">
        <f>B130+C130+D130</f>
        <v>4374753</v>
      </c>
      <c r="F130" s="75">
        <f>E128-E130</f>
        <v>706247</v>
      </c>
      <c r="G130" s="76">
        <f>F130/E128</f>
        <v>0.13899763826018499</v>
      </c>
      <c r="H130" s="77" t="s">
        <v>374</v>
      </c>
    </row>
    <row r="131" spans="1:9" ht="21.75" customHeight="1" x14ac:dyDescent="0.3">
      <c r="A131" s="78" t="s">
        <v>375</v>
      </c>
      <c r="B131" s="79">
        <v>1490696</v>
      </c>
      <c r="C131" s="79">
        <v>1310696</v>
      </c>
      <c r="D131" s="79">
        <v>1328696</v>
      </c>
      <c r="E131" s="79">
        <f>B131+C131+D131</f>
        <v>4130088</v>
      </c>
      <c r="F131" s="80">
        <f>E128-E131</f>
        <v>950912</v>
      </c>
      <c r="G131" s="81">
        <f>F131/E128</f>
        <v>0.18715056091320606</v>
      </c>
      <c r="H131" s="82" t="s">
        <v>2</v>
      </c>
    </row>
    <row r="132" spans="1:9" ht="21.75" customHeight="1" x14ac:dyDescent="0.3">
      <c r="A132" s="83" t="s">
        <v>376</v>
      </c>
      <c r="B132" s="84">
        <v>743368</v>
      </c>
      <c r="C132" s="84">
        <v>523368</v>
      </c>
      <c r="D132" s="84">
        <v>541368</v>
      </c>
      <c r="E132" s="84">
        <f>B132+C132+D132</f>
        <v>1808104</v>
      </c>
      <c r="F132" s="85">
        <f>E128-E132</f>
        <v>3272896</v>
      </c>
      <c r="G132" s="86">
        <f>F132/E128</f>
        <v>0.64414406612871478</v>
      </c>
      <c r="H132" s="87" t="s">
        <v>377</v>
      </c>
    </row>
    <row r="134" spans="1:9" ht="39.75" customHeight="1" x14ac:dyDescent="0.3">
      <c r="A134" s="110" t="s">
        <v>378</v>
      </c>
      <c r="B134" s="110"/>
      <c r="C134" s="110"/>
      <c r="D134" s="110"/>
      <c r="E134" s="110"/>
      <c r="F134" s="110"/>
      <c r="G134" s="110"/>
      <c r="H134" s="110"/>
      <c r="I134" s="110"/>
    </row>
  </sheetData>
  <mergeCells count="7">
    <mergeCell ref="A119:I119"/>
    <mergeCell ref="A134:I134"/>
    <mergeCell ref="A1:I1"/>
    <mergeCell ref="A3:I3"/>
    <mergeCell ref="A23:I23"/>
    <mergeCell ref="A55:I55"/>
    <mergeCell ref="A87:I8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4"/>
  <sheetViews>
    <sheetView showGridLines="0" tabSelected="1" zoomScaleNormal="100" workbookViewId="0">
      <selection sqref="A1:K1"/>
    </sheetView>
  </sheetViews>
  <sheetFormatPr defaultColWidth="8.6640625" defaultRowHeight="14.4" x14ac:dyDescent="0.3"/>
  <cols>
    <col min="1" max="1" width="28" customWidth="1"/>
    <col min="2" max="5" width="18" customWidth="1"/>
    <col min="6" max="6" width="11.33203125" customWidth="1"/>
    <col min="7" max="7" width="28" customWidth="1"/>
    <col min="8" max="8" width="18" customWidth="1"/>
  </cols>
  <sheetData>
    <row r="1" spans="1:11" ht="21.75" customHeight="1" x14ac:dyDescent="0.3">
      <c r="A1" s="115" t="s">
        <v>379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3" spans="1:11" x14ac:dyDescent="0.3">
      <c r="A3" t="s">
        <v>380</v>
      </c>
    </row>
    <row r="4" spans="1:11" ht="26.4" x14ac:dyDescent="0.3">
      <c r="A4" s="1" t="s">
        <v>364</v>
      </c>
      <c r="B4" s="1" t="s">
        <v>365</v>
      </c>
      <c r="C4" s="1" t="s">
        <v>366</v>
      </c>
      <c r="D4" s="1" t="s">
        <v>367</v>
      </c>
      <c r="E4" s="1" t="s">
        <v>381</v>
      </c>
      <c r="F4" s="1" t="s">
        <v>4</v>
      </c>
      <c r="G4" s="1" t="s">
        <v>382</v>
      </c>
    </row>
    <row r="5" spans="1:11" x14ac:dyDescent="0.3">
      <c r="A5" s="64" t="s">
        <v>383</v>
      </c>
      <c r="B5" s="65">
        <v>1898000</v>
      </c>
      <c r="C5" s="65">
        <v>1583000</v>
      </c>
      <c r="D5" s="65">
        <v>1600000</v>
      </c>
      <c r="E5" s="65">
        <v>5081000</v>
      </c>
      <c r="F5" s="88">
        <v>0</v>
      </c>
      <c r="G5" s="89">
        <v>0</v>
      </c>
    </row>
    <row r="6" spans="1:11" x14ac:dyDescent="0.3">
      <c r="A6" s="68" t="s">
        <v>384</v>
      </c>
      <c r="B6" s="69">
        <v>1252888</v>
      </c>
      <c r="C6" s="69">
        <v>956488</v>
      </c>
      <c r="D6" s="69">
        <v>974488</v>
      </c>
      <c r="E6" s="69">
        <v>3183864</v>
      </c>
      <c r="F6" s="69">
        <v>1897136</v>
      </c>
      <c r="G6" s="90">
        <v>0.373</v>
      </c>
    </row>
    <row r="7" spans="1:11" x14ac:dyDescent="0.3">
      <c r="A7" s="73" t="s">
        <v>385</v>
      </c>
      <c r="B7" s="74">
        <v>1671251</v>
      </c>
      <c r="C7" s="74">
        <v>1342751</v>
      </c>
      <c r="D7" s="74">
        <v>1360751</v>
      </c>
      <c r="E7" s="74">
        <v>4374753</v>
      </c>
      <c r="F7" s="74">
        <v>706247</v>
      </c>
      <c r="G7" s="91">
        <v>0.13900000000000001</v>
      </c>
    </row>
    <row r="8" spans="1:11" x14ac:dyDescent="0.3">
      <c r="A8" s="78" t="s">
        <v>386</v>
      </c>
      <c r="B8" s="79">
        <v>1490696</v>
      </c>
      <c r="C8" s="79">
        <v>1310696</v>
      </c>
      <c r="D8" s="79">
        <v>1328696</v>
      </c>
      <c r="E8" s="79">
        <v>4130088</v>
      </c>
      <c r="F8" s="79">
        <v>950912</v>
      </c>
      <c r="G8" s="92">
        <v>0.187</v>
      </c>
    </row>
    <row r="9" spans="1:11" x14ac:dyDescent="0.3">
      <c r="A9" s="83" t="s">
        <v>387</v>
      </c>
      <c r="B9" s="84">
        <v>743368</v>
      </c>
      <c r="C9" s="84">
        <v>523368</v>
      </c>
      <c r="D9" s="84">
        <v>541368</v>
      </c>
      <c r="E9" s="84">
        <v>1808104</v>
      </c>
      <c r="F9" s="84">
        <v>3272896</v>
      </c>
      <c r="G9" s="93">
        <v>0.64400000000000002</v>
      </c>
    </row>
    <row r="26" spans="1:8" x14ac:dyDescent="0.3">
      <c r="A26" t="s">
        <v>388</v>
      </c>
    </row>
    <row r="27" spans="1:8" x14ac:dyDescent="0.3">
      <c r="A27" s="1" t="s">
        <v>17</v>
      </c>
      <c r="B27" s="1" t="s">
        <v>114</v>
      </c>
      <c r="C27" s="1" t="s">
        <v>221</v>
      </c>
      <c r="D27" s="1" t="s">
        <v>389</v>
      </c>
      <c r="E27" s="1" t="s">
        <v>390</v>
      </c>
      <c r="G27" t="s">
        <v>391</v>
      </c>
    </row>
    <row r="28" spans="1:8" x14ac:dyDescent="0.3">
      <c r="A28" s="41" t="s">
        <v>307</v>
      </c>
      <c r="B28" s="94">
        <v>700000</v>
      </c>
      <c r="C28" s="95">
        <v>700000</v>
      </c>
      <c r="D28" s="96">
        <v>700000</v>
      </c>
      <c r="E28" s="97">
        <v>0</v>
      </c>
      <c r="G28" s="1" t="s">
        <v>364</v>
      </c>
      <c r="H28" s="1" t="s">
        <v>392</v>
      </c>
    </row>
    <row r="29" spans="1:8" x14ac:dyDescent="0.3">
      <c r="A29" s="42" t="s">
        <v>393</v>
      </c>
      <c r="B29" s="94">
        <v>300000</v>
      </c>
      <c r="C29" s="95">
        <v>173908</v>
      </c>
      <c r="D29" s="96">
        <v>230184</v>
      </c>
      <c r="E29" s="97">
        <v>81600</v>
      </c>
      <c r="G29" s="98" t="s">
        <v>394</v>
      </c>
      <c r="H29" s="99">
        <v>4.21</v>
      </c>
    </row>
    <row r="30" spans="1:8" x14ac:dyDescent="0.3">
      <c r="A30" s="41" t="s">
        <v>395</v>
      </c>
      <c r="B30" s="94">
        <v>176000</v>
      </c>
      <c r="C30" s="95">
        <v>176000</v>
      </c>
      <c r="D30" s="96">
        <v>176000</v>
      </c>
      <c r="E30" s="97">
        <v>0</v>
      </c>
      <c r="G30" s="100" t="s">
        <v>396</v>
      </c>
      <c r="H30" s="101">
        <v>3.87</v>
      </c>
    </row>
    <row r="31" spans="1:8" x14ac:dyDescent="0.3">
      <c r="A31" s="42" t="s">
        <v>397</v>
      </c>
      <c r="B31" s="94">
        <v>60000</v>
      </c>
      <c r="C31" s="95">
        <v>6312</v>
      </c>
      <c r="D31" s="96">
        <v>6312</v>
      </c>
      <c r="E31" s="97">
        <v>7368</v>
      </c>
      <c r="G31" s="102" t="s">
        <v>398</v>
      </c>
      <c r="H31" s="103">
        <v>3.14</v>
      </c>
    </row>
    <row r="32" spans="1:8" x14ac:dyDescent="0.3">
      <c r="A32" s="41" t="s">
        <v>399</v>
      </c>
      <c r="B32" s="94">
        <v>0</v>
      </c>
      <c r="C32" s="95">
        <v>180000</v>
      </c>
      <c r="D32" s="96">
        <v>240000</v>
      </c>
      <c r="E32" s="97">
        <v>630000</v>
      </c>
      <c r="G32" s="104" t="s">
        <v>387</v>
      </c>
      <c r="H32" s="105">
        <v>3.98</v>
      </c>
    </row>
    <row r="33" spans="1:8" x14ac:dyDescent="0.3">
      <c r="A33" s="42" t="s">
        <v>400</v>
      </c>
      <c r="B33" s="94">
        <v>400000</v>
      </c>
      <c r="C33" s="95">
        <v>300000</v>
      </c>
      <c r="D33" s="96">
        <v>300000</v>
      </c>
      <c r="E33" s="97">
        <v>200000</v>
      </c>
      <c r="G33" s="106" t="s">
        <v>401</v>
      </c>
      <c r="H33" s="107">
        <v>2.5299999999999998</v>
      </c>
    </row>
    <row r="34" spans="1:8" x14ac:dyDescent="0.3">
      <c r="A34" s="41" t="s">
        <v>402</v>
      </c>
      <c r="B34" s="94">
        <v>262000</v>
      </c>
      <c r="C34" s="95">
        <v>25064</v>
      </c>
      <c r="D34" s="96">
        <v>54904</v>
      </c>
      <c r="E34" s="97">
        <v>23800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Forms Workload Assessment</vt:lpstr>
      <vt:lpstr>AWR Database Profile</vt:lpstr>
      <vt:lpstr>TCO Model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Dharmendra Kumar</cp:lastModifiedBy>
  <cp:revision>1</cp:revision>
  <dcterms:created xsi:type="dcterms:W3CDTF">2026-04-09T01:59:06Z</dcterms:created>
  <dcterms:modified xsi:type="dcterms:W3CDTF">2026-04-10T08:35:16Z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7b1849-c525-4f80-a132-21fc7316de02_Enabled">
    <vt:lpwstr>true</vt:lpwstr>
  </property>
  <property fmtid="{D5CDD505-2E9C-101B-9397-08002B2CF9AE}" pid="3" name="MSIP_Label_247b1849-c525-4f80-a132-21fc7316de02_SetDate">
    <vt:lpwstr>2026-04-09T04:59:32Z</vt:lpwstr>
  </property>
  <property fmtid="{D5CDD505-2E9C-101B-9397-08002B2CF9AE}" pid="4" name="MSIP_Label_247b1849-c525-4f80-a132-21fc7316de02_Method">
    <vt:lpwstr>Standard</vt:lpwstr>
  </property>
  <property fmtid="{D5CDD505-2E9C-101B-9397-08002B2CF9AE}" pid="5" name="MSIP_Label_247b1849-c525-4f80-a132-21fc7316de02_Name">
    <vt:lpwstr>defa4170-0d19-0005-0004-bc88714345d2</vt:lpwstr>
  </property>
  <property fmtid="{D5CDD505-2E9C-101B-9397-08002B2CF9AE}" pid="6" name="MSIP_Label_247b1849-c525-4f80-a132-21fc7316de02_SiteId">
    <vt:lpwstr>d70cb4db-69c4-4a49-aaf3-f1e7ac277686</vt:lpwstr>
  </property>
  <property fmtid="{D5CDD505-2E9C-101B-9397-08002B2CF9AE}" pid="7" name="MSIP_Label_247b1849-c525-4f80-a132-21fc7316de02_ActionId">
    <vt:lpwstr>9c0ad202-dcc8-4d9a-95dc-584be586e3df</vt:lpwstr>
  </property>
  <property fmtid="{D5CDD505-2E9C-101B-9397-08002B2CF9AE}" pid="8" name="MSIP_Label_247b1849-c525-4f80-a132-21fc7316de02_ContentBits">
    <vt:lpwstr>0</vt:lpwstr>
  </property>
  <property fmtid="{D5CDD505-2E9C-101B-9397-08002B2CF9AE}" pid="9" name="MSIP_Label_247b1849-c525-4f80-a132-21fc7316de02_Tag">
    <vt:lpwstr>10, 3, 0, 1</vt:lpwstr>
  </property>
</Properties>
</file>